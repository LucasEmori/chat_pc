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mc:AlternateContent xmlns:mc="http://schemas.openxmlformats.org/markup-compatibility/2006">
    <mc:Choice Requires="x15">
      <x15ac:absPath xmlns:x15ac="http://schemas.microsoft.com/office/spreadsheetml/2010/11/ac" url="https://azimemoda-my.sharepoint.com/personal/renato_azime_com_br/Documents/00-Geral/Diretoria/02-Compras/01-Pedidos/202602/Aprovados Alinare/menus prontos pra confirma/"/>
    </mc:Choice>
  </mc:AlternateContent>
  <xr:revisionPtr revIDLastSave="0" documentId="8_{18DE93D7-54D1-4C6C-8046-4C38316F8A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299 (3)" sheetId="3" r:id="rId1"/>
  </sheets>
  <definedNames>
    <definedName name="_xlnm._FilterDatabase" localSheetId="0" hidden="1">'S299 (3)'!$A$10:$GJ$28</definedName>
    <definedName name="_xlnm.Print_Area" localSheetId="0">'S299 (3)'!$A$1:$W$28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3" l="1"/>
  <c r="S17" i="3"/>
  <c r="Q17" i="3"/>
  <c r="W16" i="3"/>
  <c r="V16" i="3"/>
  <c r="S16" i="3"/>
  <c r="W15" i="3"/>
  <c r="V15" i="3"/>
  <c r="S15" i="3"/>
  <c r="W14" i="3"/>
  <c r="V14" i="3"/>
  <c r="S14" i="3"/>
  <c r="W13" i="3"/>
  <c r="V13" i="3"/>
  <c r="S13" i="3"/>
  <c r="W12" i="3"/>
  <c r="V12" i="3"/>
  <c r="S12" i="3"/>
  <c r="W11" i="3"/>
  <c r="V11" i="3"/>
  <c r="S11" i="3"/>
</calcChain>
</file>

<file path=xl/sharedStrings.xml><?xml version="1.0" encoding="utf-8"?>
<sst xmlns="http://schemas.openxmlformats.org/spreadsheetml/2006/main" count="58" uniqueCount="50">
  <si>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</si>
  <si>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</si>
  <si>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</si>
  <si>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</si>
  <si>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</si>
  <si>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</si>
  <si>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</si>
  <si>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</si>
  <si>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charset val="134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</si>
  <si>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</si>
  <si>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</si>
  <si>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</si>
  <si>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</si>
  <si>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</si>
  <si>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</si>
  <si>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</si>
  <si>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</si>
  <si>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</si>
  <si>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</si>
  <si>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</si>
  <si>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</si>
  <si>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</si>
  <si>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</si>
  <si>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</si>
  <si>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charset val="134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</si>
  <si>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charset val="134"/>
      </rPr>
      <t>g</t>
    </r>
    <r>
      <rPr>
        <b/>
        <sz val="12"/>
        <rFont val="宋体"/>
        <charset val="134"/>
      </rPr>
      <t>）</t>
    </r>
  </si>
  <si>
    <t>银价单价按克</t>
  </si>
  <si>
    <t>工费单价按克</t>
  </si>
  <si>
    <t>单价按克</t>
  </si>
  <si>
    <t>总金额</t>
  </si>
  <si>
    <t>耳环</t>
  </si>
  <si>
    <t>SE18094-H</t>
  </si>
  <si>
    <t>CB12</t>
  </si>
  <si>
    <r>
      <rPr>
        <sz val="12"/>
        <rFont val="宋体"/>
        <charset val="134"/>
      </rPr>
      <t>合成石</t>
    </r>
    <r>
      <rPr>
        <sz val="12"/>
        <rFont val="Arial"/>
        <charset val="134"/>
      </rPr>
      <t>CB12</t>
    </r>
  </si>
  <si>
    <r>
      <rPr>
        <sz val="12"/>
        <rFont val="Arial"/>
        <charset val="134"/>
      </rPr>
      <t xml:space="preserve">RODHIUM PLATE </t>
    </r>
    <r>
      <rPr>
        <sz val="12"/>
        <rFont val="宋体"/>
        <charset val="134"/>
      </rPr>
      <t>镀白</t>
    </r>
  </si>
  <si>
    <t>CB01</t>
  </si>
  <si>
    <r>
      <rPr>
        <sz val="12"/>
        <rFont val="宋体"/>
        <charset val="134"/>
      </rPr>
      <t>合成石</t>
    </r>
    <r>
      <rPr>
        <sz val="12"/>
        <rFont val="Arial"/>
        <charset val="134"/>
      </rPr>
      <t>CB01</t>
    </r>
  </si>
  <si>
    <t>SE18094</t>
  </si>
  <si>
    <t>RUBY3</t>
  </si>
  <si>
    <r>
      <rPr>
        <sz val="12"/>
        <rFont val="Arial"/>
        <charset val="134"/>
      </rPr>
      <t>3#</t>
    </r>
    <r>
      <rPr>
        <sz val="12"/>
        <rFont val="宋体"/>
        <charset val="134"/>
      </rPr>
      <t>红刚玉</t>
    </r>
  </si>
  <si>
    <t>TANZANITE</t>
  </si>
  <si>
    <t>坦桑锆</t>
  </si>
  <si>
    <t>acquamarine</t>
  </si>
  <si>
    <r>
      <rPr>
        <sz val="12"/>
        <rFont val="宋体"/>
        <charset val="134"/>
      </rPr>
      <t>水兰玻</t>
    </r>
    <r>
      <rPr>
        <sz val="12"/>
        <rFont val="Arial"/>
        <charset val="134"/>
      </rPr>
      <t>107</t>
    </r>
  </si>
  <si>
    <t>项链</t>
  </si>
  <si>
    <t>SN23376</t>
  </si>
  <si>
    <t>ALL WHITE</t>
  </si>
  <si>
    <t>白</t>
  </si>
  <si>
    <t>42CM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</si>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</sst>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33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FF0000"/>
      <name val="宋体"/>
      <charset val="134"/>
    </font>
    <font>
      <b/>
      <sz val="18"/>
      <name val="Times New Roman"/>
      <charset val="134"/>
    </font>
    <font>
      <b/>
      <sz val="12"/>
      <name val="Arial"/>
      <charset val="134"/>
    </font>
    <font>
      <b/>
      <sz val="11"/>
      <name val="Times New Roman"/>
      <charset val="134"/>
    </font>
    <font>
      <b/>
      <sz val="18"/>
      <name val="Arial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sz val="12"/>
      <color rgb="FF000000"/>
      <name val="Arial"/>
      <charset val="134"/>
    </font>
    <font>
      <b/>
      <sz val="12"/>
      <color rgb="FFFFFF00"/>
      <name val="Arial"/>
      <charset val="134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sz val="12"/>
      <color theme="1"/>
      <name val="宋体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b/>
      <sz val="10"/>
      <name val="Arial"/>
      <charset val="134"/>
    </font>
    <font>
      <sz val="18"/>
      <name val="Arial"/>
      <charset val="134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sz val="18"/>
      <color rgb="FFFF0000"/>
      <name val="Arial"/>
      <charset val="134"/>
    </font>
    <font>
      <b/>
      <sz val="18"/>
      <color rgb="FFFF0000"/>
      <name val="Arial"/>
      <charset val="134"/>
    </font>
    <font>
      <b/>
      <sz val="10"/>
      <color rgb="FFFF0000"/>
      <name val="Arial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>
      <alignment vertical="top"/>
    </xf>
    <xf numFmtId="164" fontId="32" fillId="0" borderId="0" applyFont="0" applyFill="0" applyBorder="0" applyAlignment="0" applyProtection="0"/>
    <xf numFmtId="0" fontId="32" fillId="0" borderId="0">
      <alignment vertical="top"/>
    </xf>
    <xf numFmtId="0" fontId="30" fillId="0" borderId="0">
      <alignment vertical="top"/>
    </xf>
    <xf numFmtId="0" fontId="32" fillId="0" borderId="0">
      <alignment vertical="center"/>
    </xf>
    <xf numFmtId="0" fontId="31" fillId="0" borderId="0"/>
    <xf numFmtId="0" fontId="30" fillId="0" borderId="0">
      <alignment vertical="top"/>
    </xf>
  </cellStyleXfs>
  <cellXfs count="150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14" fillId="3" borderId="4" xfId="0" applyNumberFormat="1" applyFont="1" applyFill="1" applyBorder="1" applyAlignment="1">
      <alignment vertical="center" wrapText="1" shrinkToFit="1" readingOrder="1"/>
    </xf>
    <xf numFmtId="0" fontId="15" fillId="3" borderId="4" xfId="5" applyFont="1" applyFill="1" applyBorder="1" applyAlignment="1">
      <alignment horizontal="center" vertical="center" wrapText="1"/>
    </xf>
    <xf numFmtId="49" fontId="14" fillId="3" borderId="4" xfId="0" applyNumberFormat="1" applyFont="1" applyFill="1" applyBorder="1" applyAlignment="1">
      <alignment horizontal="center" vertical="center" wrapText="1" shrinkToFit="1" readingOrder="1"/>
    </xf>
    <xf numFmtId="0" fontId="16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7" fillId="3" borderId="4" xfId="0" applyNumberFormat="1" applyFont="1" applyFill="1" applyBorder="1" applyAlignment="1">
      <alignment horizontal="center" vertical="center" wrapText="1" shrinkToFit="1" readingOrder="1"/>
    </xf>
    <xf numFmtId="0" fontId="1" fillId="3" borderId="3" xfId="0" applyFont="1" applyFill="1" applyBorder="1" applyAlignment="1">
      <alignment horizontal="center" vertical="center"/>
    </xf>
    <xf numFmtId="169" fontId="18" fillId="3" borderId="4" xfId="5" applyNumberFormat="1" applyFont="1" applyFill="1" applyBorder="1" applyAlignment="1">
      <alignment horizontal="center" vertical="center" wrapText="1"/>
    </xf>
    <xf numFmtId="169" fontId="1" fillId="3" borderId="4" xfId="5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18" fillId="3" borderId="4" xfId="6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 wrapText="1"/>
    </xf>
    <xf numFmtId="166" fontId="1" fillId="3" borderId="4" xfId="0" applyNumberFormat="1" applyFont="1" applyFill="1" applyBorder="1" applyAlignment="1">
      <alignment horizontal="center" vertical="center" wrapText="1"/>
    </xf>
    <xf numFmtId="167" fontId="1" fillId="3" borderId="4" xfId="0" applyNumberFormat="1" applyFont="1" applyFill="1" applyBorder="1" applyAlignment="1">
      <alignment horizontal="center" vertical="center"/>
    </xf>
    <xf numFmtId="167" fontId="1" fillId="3" borderId="4" xfId="0" applyNumberFormat="1" applyFont="1" applyFill="1" applyBorder="1" applyAlignment="1">
      <alignment horizontal="center" vertical="center" wrapText="1"/>
    </xf>
    <xf numFmtId="167" fontId="1" fillId="3" borderId="13" xfId="0" applyNumberFormat="1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 shrinkToFit="1" readingOrder="1"/>
    </xf>
    <xf numFmtId="167" fontId="16" fillId="3" borderId="4" xfId="0" applyNumberFormat="1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 vertical="center" wrapText="1"/>
    </xf>
    <xf numFmtId="167" fontId="1" fillId="2" borderId="6" xfId="0" applyNumberFormat="1" applyFont="1" applyFill="1" applyBorder="1" applyAlignment="1">
      <alignment horizontal="center" vertical="center" wrapText="1"/>
    </xf>
    <xf numFmtId="167" fontId="6" fillId="2" borderId="1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 wrapText="1"/>
    </xf>
    <xf numFmtId="165" fontId="21" fillId="0" borderId="11" xfId="0" applyNumberFormat="1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 wrapText="1"/>
    </xf>
    <xf numFmtId="165" fontId="21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9" fontId="1" fillId="3" borderId="3" xfId="5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5" fillId="3" borderId="4" xfId="5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0" fontId="21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165" fontId="21" fillId="0" borderId="4" xfId="0" applyNumberFormat="1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1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 wrapText="1"/>
    </xf>
    <xf numFmtId="165" fontId="21" fillId="0" borderId="9" xfId="0" applyNumberFormat="1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1" fillId="3" borderId="4" xfId="6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165" fontId="20" fillId="0" borderId="8" xfId="0" applyNumberFormat="1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4" fillId="0" borderId="0" xfId="0" applyNumberFormat="1" applyFont="1" applyAlignment="1">
      <alignment horizontal="left" vertical="center" wrapText="1"/>
    </xf>
    <xf numFmtId="14" fontId="25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0" fontId="12" fillId="0" borderId="0" xfId="1" applyNumberFormat="1" applyFont="1" applyBorder="1" applyAlignment="1">
      <alignment vertical="center" wrapText="1"/>
    </xf>
    <xf numFmtId="14" fontId="26" fillId="0" borderId="0" xfId="0" applyNumberFormat="1" applyFont="1" applyAlignment="1">
      <alignment horizontal="left" vertical="center" wrapText="1"/>
    </xf>
    <xf numFmtId="167" fontId="27" fillId="0" borderId="0" xfId="0" applyNumberFormat="1" applyFont="1" applyAlignment="1">
      <alignment horizontal="left" vertical="center" wrapText="1"/>
    </xf>
    <xf numFmtId="14" fontId="28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3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0"/>
  <tableStyles count="0" defaultTableStyle="TableStyleMedium2" defaultPivotStyle="PivotStyleLight16"/>
  <colors>
    <mruColors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264160</xdr:colOff>
      <xdr:row>12</xdr:row>
      <xdr:rowOff>28575</xdr:rowOff>
    </xdr:from>
    <xdr:to>
      <xdr:col>3</xdr:col>
      <xdr:colOff>1233170</xdr:colOff>
      <xdr:row>12</xdr:row>
      <xdr:rowOff>908685</xdr:rowOff>
    </xdr:to>
    <xdr:pic>
      <xdr:nvPicPr>
        <xdr:cNvPr id="1061" name="ID_491DB090B7A3495FB1FC271AA8ACA979" descr="SE18094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4910" y="4923790"/>
          <a:ext cx="969010" cy="880110"/>
        </a:xfrm>
        <a:prstGeom prst="rect">
          <a:avLst/>
        </a:prstGeom>
      </xdr:spPr>
    </xdr:pic>
    <xdr:clientData/>
  </xdr:twoCellAnchor>
  <xdr:twoCellAnchor editAs="oneCell">
    <xdr:from>
      <xdr:col>3</xdr:col>
      <xdr:colOff>264160</xdr:colOff>
      <xdr:row>15</xdr:row>
      <xdr:rowOff>79375</xdr:rowOff>
    </xdr:from>
    <xdr:to>
      <xdr:col>3</xdr:col>
      <xdr:colOff>1233170</xdr:colOff>
      <xdr:row>15</xdr:row>
      <xdr:rowOff>969010</xdr:rowOff>
    </xdr:to>
    <xdr:pic>
      <xdr:nvPicPr>
        <xdr:cNvPr id="1075" name="ID_61A61741A7E84BB5A7A804CD807CE539" descr="SN23376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4910" y="7797800"/>
          <a:ext cx="969010" cy="889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28"/>
  <sheetViews>
    <sheetView tabSelected="1" topLeftCell="A13" zoomScale="85" zoomScaleNormal="85" workbookViewId="0">
      <selection activeCell="A18" sqref="A18:V33"/>
    </sheetView>
  </sheetViews>
  <sheetFormatPr defaultColWidth="12.875" defaultRowHeight="15"/>
  <cols>
    <col min="1" max="1" width="6.125" style="6" customWidth="1"/>
    <col min="2" max="2" width="10.75" style="7" customWidth="1"/>
    <col min="3" max="3" width="11.875" style="6" customWidth="1"/>
    <col min="4" max="4" width="19.625" style="6" customWidth="1"/>
    <col min="5" max="5" width="15.875" style="8" customWidth="1"/>
    <col min="6" max="6" width="16.875" style="7" customWidth="1"/>
    <col min="7" max="7" width="14.375" style="1" customWidth="1"/>
    <col min="8" max="8" width="18.375" style="7" customWidth="1"/>
    <col min="9" max="16" width="4.125" style="7" customWidth="1"/>
    <col min="17" max="17" width="8" style="6" customWidth="1"/>
    <col min="18" max="18" width="9.875" style="9" customWidth="1"/>
    <col min="19" max="19" width="15.25" style="9" customWidth="1"/>
    <col min="20" max="20" width="14.75" style="10" customWidth="1"/>
    <col min="21" max="21" width="11.625" style="11" customWidth="1"/>
    <col min="22" max="22" width="11.625" style="12" customWidth="1"/>
    <col min="23" max="23" width="22.375" style="6" customWidth="1"/>
    <col min="24" max="169" width="12.875" style="13" customWidth="1"/>
    <col min="170" max="190" width="9" style="13" customWidth="1"/>
    <col min="191" max="191" width="6.125" style="13" customWidth="1"/>
    <col min="192" max="192" width="8.625" style="13" customWidth="1"/>
    <col min="193" max="16384" width="12.875" style="13"/>
  </cols>
  <sheetData>
    <row r="1" spans="1:23" s="1" customFormat="1" ht="18" customHeight="1">
      <c r="A1" s="137"/>
      <c r="B1" s="137"/>
      <c r="C1" s="137"/>
      <c r="D1" s="137"/>
      <c r="E1" s="137"/>
      <c r="F1" s="137"/>
      <c r="G1" s="138"/>
      <c r="H1" s="137"/>
      <c r="I1" s="137"/>
      <c r="J1" s="137"/>
      <c r="K1" s="137"/>
      <c r="L1" s="137"/>
      <c r="M1" s="137"/>
      <c r="N1" s="137"/>
      <c r="O1" s="137"/>
      <c r="P1" s="139"/>
      <c r="Q1" s="139"/>
      <c r="R1" s="140"/>
      <c r="S1" s="141"/>
      <c r="T1" s="140"/>
      <c r="U1" s="137"/>
    </row>
    <row r="2" spans="1:23" s="1" customFormat="1" ht="15" customHeight="1">
      <c r="A2" s="142"/>
      <c r="B2" s="142"/>
      <c r="C2" s="142"/>
      <c r="D2" s="142"/>
      <c r="E2" s="142"/>
      <c r="F2" s="142"/>
      <c r="G2" s="143"/>
      <c r="H2" s="142"/>
      <c r="I2" s="142"/>
      <c r="J2" s="142"/>
      <c r="K2" s="142"/>
      <c r="L2" s="142"/>
      <c r="M2" s="142"/>
      <c r="N2" s="142"/>
      <c r="O2" s="142"/>
      <c r="P2" s="144"/>
      <c r="Q2" s="144"/>
      <c r="R2" s="145"/>
      <c r="S2" s="146"/>
      <c r="T2" s="145"/>
      <c r="U2" s="142"/>
    </row>
    <row r="3" spans="1:23" s="1" customFormat="1" ht="13.5" customHeight="1">
      <c r="A3" s="142"/>
      <c r="B3" s="142"/>
      <c r="C3" s="142"/>
      <c r="D3" s="142"/>
      <c r="E3" s="142"/>
      <c r="F3" s="142"/>
      <c r="G3" s="143"/>
      <c r="H3" s="142"/>
      <c r="I3" s="142"/>
      <c r="J3" s="142"/>
      <c r="K3" s="142"/>
      <c r="L3" s="142"/>
      <c r="M3" s="142"/>
      <c r="N3" s="142"/>
      <c r="O3" s="142"/>
      <c r="P3" s="144"/>
      <c r="Q3" s="144"/>
      <c r="R3" s="145"/>
      <c r="S3" s="146"/>
      <c r="T3" s="145"/>
      <c r="U3" s="142"/>
    </row>
    <row r="4" spans="1:23" s="1" customFormat="1" ht="20.25" customHeight="1">
      <c r="A4" s="147"/>
      <c r="B4" s="147"/>
      <c r="C4" s="147"/>
      <c r="D4" s="147"/>
      <c r="E4" s="147"/>
      <c r="F4" s="147"/>
      <c r="G4" s="138"/>
      <c r="H4" s="147"/>
      <c r="I4" s="147"/>
      <c r="J4" s="147"/>
      <c r="K4" s="147"/>
      <c r="L4" s="147"/>
      <c r="M4" s="147"/>
      <c r="N4" s="147"/>
      <c r="O4" s="147"/>
      <c r="P4" s="148"/>
      <c r="Q4" s="148"/>
      <c r="R4" s="140"/>
      <c r="S4" s="141"/>
      <c r="T4" s="140"/>
      <c r="U4" s="147"/>
    </row>
    <row r="5" spans="1:23" s="1" customFormat="1" ht="21.75" customHeight="1">
      <c r="A5" s="123"/>
      <c r="B5" s="149"/>
      <c r="C5" s="123"/>
      <c r="D5" s="15"/>
      <c r="E5" s="15"/>
      <c r="G5" s="124"/>
      <c r="H5" s="124"/>
      <c r="I5" s="16"/>
      <c r="J5" s="16"/>
      <c r="K5" s="39"/>
      <c r="L5" s="39"/>
      <c r="M5" s="39"/>
      <c r="P5" s="40"/>
      <c r="Q5" s="40"/>
      <c r="R5" s="42"/>
      <c r="S5" s="41"/>
      <c r="T5" s="43"/>
      <c r="U5" s="44"/>
    </row>
    <row r="6" spans="1:23" s="1" customFormat="1" ht="21.75" customHeight="1">
      <c r="A6" s="123"/>
      <c r="B6" s="123"/>
      <c r="C6" s="17"/>
      <c r="D6" s="15"/>
      <c r="E6" s="18"/>
      <c r="F6" s="14"/>
      <c r="G6" s="124"/>
      <c r="H6" s="124"/>
      <c r="I6" s="124"/>
      <c r="J6" s="124"/>
      <c r="K6" s="124"/>
      <c r="L6" s="124"/>
      <c r="M6" s="124"/>
      <c r="N6" s="124"/>
      <c r="O6" s="124"/>
      <c r="P6" s="125"/>
      <c r="Q6" s="126"/>
      <c r="R6" s="126"/>
      <c r="S6" s="45"/>
      <c r="T6" s="127"/>
      <c r="U6" s="128"/>
      <c r="V6" s="127"/>
      <c r="W6" s="129"/>
    </row>
    <row r="7" spans="1:23" s="2" customFormat="1" ht="30.95" customHeight="1">
      <c r="A7" s="130"/>
      <c r="B7" s="131"/>
      <c r="C7" s="131"/>
      <c r="D7" s="19"/>
      <c r="F7" s="20"/>
      <c r="G7" s="132"/>
      <c r="H7" s="133"/>
      <c r="I7" s="20"/>
      <c r="J7" s="20"/>
      <c r="K7" s="20"/>
      <c r="L7" s="20"/>
      <c r="M7" s="20"/>
      <c r="N7" s="20"/>
      <c r="O7" s="20"/>
      <c r="P7" s="125"/>
      <c r="Q7" s="126"/>
      <c r="R7" s="126"/>
      <c r="S7" s="45"/>
      <c r="T7" s="134"/>
      <c r="U7" s="135"/>
      <c r="V7" s="136"/>
      <c r="W7" s="134"/>
    </row>
    <row r="8" spans="1:23" s="1" customFormat="1" ht="21" customHeight="1">
      <c r="A8" s="89" t="s">
        <v>0</v>
      </c>
      <c r="B8" s="61" t="s">
        <v>1</v>
      </c>
      <c r="C8" s="61" t="s">
        <v>2</v>
      </c>
      <c r="D8" s="61" t="s">
        <v>3</v>
      </c>
      <c r="E8" s="95" t="s">
        <v>4</v>
      </c>
      <c r="F8" s="61" t="s">
        <v>5</v>
      </c>
      <c r="G8" s="61" t="s">
        <v>6</v>
      </c>
      <c r="H8" s="61" t="s">
        <v>7</v>
      </c>
      <c r="I8" s="61" t="s">
        <v>8</v>
      </c>
      <c r="J8" s="61"/>
      <c r="K8" s="61"/>
      <c r="L8" s="61"/>
      <c r="M8" s="61"/>
      <c r="N8" s="61"/>
      <c r="O8" s="61"/>
      <c r="P8" s="61"/>
      <c r="Q8" s="97" t="s">
        <v>9</v>
      </c>
      <c r="R8" s="63" t="s">
        <v>10</v>
      </c>
      <c r="S8" s="63" t="s">
        <v>11</v>
      </c>
      <c r="T8" s="61" t="s">
        <v>12</v>
      </c>
      <c r="U8" s="61" t="s">
        <v>13</v>
      </c>
      <c r="V8" s="61" t="s">
        <v>14</v>
      </c>
      <c r="W8" s="65" t="s">
        <v>15</v>
      </c>
    </row>
    <row r="9" spans="1:23" s="1" customFormat="1" ht="21.95" customHeight="1">
      <c r="A9" s="90"/>
      <c r="B9" s="62"/>
      <c r="C9" s="62"/>
      <c r="D9" s="62"/>
      <c r="E9" s="96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98"/>
      <c r="R9" s="64"/>
      <c r="S9" s="64"/>
      <c r="T9" s="62"/>
      <c r="U9" s="62"/>
      <c r="V9" s="62"/>
      <c r="W9" s="66"/>
    </row>
    <row r="10" spans="1:23" s="1" customFormat="1" ht="53.1" customHeight="1">
      <c r="A10" s="22" t="s">
        <v>16</v>
      </c>
      <c r="B10" s="23" t="s">
        <v>17</v>
      </c>
      <c r="C10" s="23" t="s">
        <v>18</v>
      </c>
      <c r="D10" s="23" t="s">
        <v>19</v>
      </c>
      <c r="E10" s="96"/>
      <c r="F10" s="23" t="s">
        <v>20</v>
      </c>
      <c r="G10" s="23" t="s">
        <v>21</v>
      </c>
      <c r="H10" s="23" t="s">
        <v>22</v>
      </c>
      <c r="I10" s="21">
        <v>3</v>
      </c>
      <c r="J10" s="21">
        <v>4</v>
      </c>
      <c r="K10" s="21">
        <v>5</v>
      </c>
      <c r="L10" s="21">
        <v>6</v>
      </c>
      <c r="M10" s="21">
        <v>7</v>
      </c>
      <c r="N10" s="21">
        <v>8</v>
      </c>
      <c r="O10" s="21">
        <v>9</v>
      </c>
      <c r="P10" s="21">
        <v>10</v>
      </c>
      <c r="Q10" s="46" t="s">
        <v>23</v>
      </c>
      <c r="R10" s="47" t="s">
        <v>24</v>
      </c>
      <c r="S10" s="47" t="s">
        <v>25</v>
      </c>
      <c r="T10" s="23" t="s">
        <v>26</v>
      </c>
      <c r="U10" s="23" t="s">
        <v>27</v>
      </c>
      <c r="V10" s="23" t="s">
        <v>28</v>
      </c>
      <c r="W10" s="48" t="s">
        <v>29</v>
      </c>
    </row>
    <row r="11" spans="1:23" s="3" customFormat="1" ht="74.099999999999994" customHeight="1">
      <c r="A11" s="91">
        <v>1</v>
      </c>
      <c r="B11" s="92" t="s">
        <v>30</v>
      </c>
      <c r="C11" s="25" t="s">
        <v>31</v>
      </c>
      <c r="D11" s="94"/>
      <c r="E11" s="27"/>
      <c r="F11" s="28" t="s">
        <v>32</v>
      </c>
      <c r="G11" s="24" t="s">
        <v>33</v>
      </c>
      <c r="H11" s="29" t="s">
        <v>34</v>
      </c>
      <c r="I11" s="113"/>
      <c r="J11" s="113"/>
      <c r="K11" s="113"/>
      <c r="L11" s="113"/>
      <c r="M11" s="113"/>
      <c r="N11" s="113"/>
      <c r="O11" s="113"/>
      <c r="P11" s="113"/>
      <c r="Q11" s="49">
        <v>20</v>
      </c>
      <c r="R11" s="50">
        <v>2.93</v>
      </c>
      <c r="S11" s="51">
        <f t="shared" ref="S11:S16" si="0">R11*Q11</f>
        <v>58.6</v>
      </c>
      <c r="T11" s="52">
        <v>2.98</v>
      </c>
      <c r="U11" s="53">
        <v>0.74</v>
      </c>
      <c r="V11" s="54">
        <f t="shared" ref="V11:V15" si="1">T11+U11</f>
        <v>3.72</v>
      </c>
      <c r="W11" s="55">
        <f t="shared" ref="W11:W16" si="2">V11*S11</f>
        <v>217.99199999999999</v>
      </c>
    </row>
    <row r="12" spans="1:23" s="3" customFormat="1" ht="74.099999999999994" customHeight="1">
      <c r="A12" s="91"/>
      <c r="B12" s="93"/>
      <c r="C12" s="25" t="s">
        <v>31</v>
      </c>
      <c r="D12" s="94"/>
      <c r="E12" s="30"/>
      <c r="F12" s="28" t="s">
        <v>35</v>
      </c>
      <c r="G12" s="24" t="s">
        <v>36</v>
      </c>
      <c r="H12" s="29" t="s">
        <v>34</v>
      </c>
      <c r="I12" s="113"/>
      <c r="J12" s="113"/>
      <c r="K12" s="113"/>
      <c r="L12" s="113"/>
      <c r="M12" s="113"/>
      <c r="N12" s="113"/>
      <c r="O12" s="113"/>
      <c r="P12" s="113"/>
      <c r="Q12" s="49">
        <v>20</v>
      </c>
      <c r="R12" s="50">
        <v>2.93</v>
      </c>
      <c r="S12" s="51">
        <f t="shared" si="0"/>
        <v>58.6</v>
      </c>
      <c r="T12" s="52">
        <v>2.98</v>
      </c>
      <c r="U12" s="53">
        <v>0.74</v>
      </c>
      <c r="V12" s="54">
        <f t="shared" si="1"/>
        <v>3.72</v>
      </c>
      <c r="W12" s="55">
        <f t="shared" si="2"/>
        <v>217.99199999999999</v>
      </c>
    </row>
    <row r="13" spans="1:23" s="3" customFormat="1" ht="74.099999999999994" customHeight="1">
      <c r="A13" s="91"/>
      <c r="B13" s="93"/>
      <c r="C13" s="27" t="s">
        <v>37</v>
      </c>
      <c r="D13" s="94"/>
      <c r="E13" s="30"/>
      <c r="F13" s="28" t="s">
        <v>38</v>
      </c>
      <c r="G13" s="29" t="s">
        <v>39</v>
      </c>
      <c r="H13" s="29" t="s">
        <v>34</v>
      </c>
      <c r="I13" s="113"/>
      <c r="J13" s="113"/>
      <c r="K13" s="113"/>
      <c r="L13" s="113"/>
      <c r="M13" s="113"/>
      <c r="N13" s="113"/>
      <c r="O13" s="113"/>
      <c r="P13" s="113"/>
      <c r="Q13" s="49">
        <v>10</v>
      </c>
      <c r="R13" s="50">
        <v>2.86</v>
      </c>
      <c r="S13" s="51">
        <f t="shared" si="0"/>
        <v>28.6</v>
      </c>
      <c r="T13" s="52">
        <v>2.98</v>
      </c>
      <c r="U13" s="53">
        <v>0.82</v>
      </c>
      <c r="V13" s="54">
        <f t="shared" si="1"/>
        <v>3.8</v>
      </c>
      <c r="W13" s="55">
        <f t="shared" si="2"/>
        <v>108.68</v>
      </c>
    </row>
    <row r="14" spans="1:23" s="3" customFormat="1" ht="74.099999999999994" customHeight="1">
      <c r="A14" s="91"/>
      <c r="B14" s="93"/>
      <c r="C14" s="25" t="s">
        <v>31</v>
      </c>
      <c r="D14" s="94"/>
      <c r="E14" s="30"/>
      <c r="F14" s="28" t="s">
        <v>40</v>
      </c>
      <c r="G14" s="24" t="s">
        <v>41</v>
      </c>
      <c r="H14" s="29" t="s">
        <v>34</v>
      </c>
      <c r="I14" s="113"/>
      <c r="J14" s="113"/>
      <c r="K14" s="113"/>
      <c r="L14" s="113"/>
      <c r="M14" s="113"/>
      <c r="N14" s="113"/>
      <c r="O14" s="113"/>
      <c r="P14" s="113"/>
      <c r="Q14" s="49">
        <v>15</v>
      </c>
      <c r="R14" s="50">
        <v>2.93</v>
      </c>
      <c r="S14" s="51">
        <f t="shared" si="0"/>
        <v>43.95</v>
      </c>
      <c r="T14" s="52">
        <v>2.98</v>
      </c>
      <c r="U14" s="53">
        <v>0.74</v>
      </c>
      <c r="V14" s="54">
        <f t="shared" si="1"/>
        <v>3.72</v>
      </c>
      <c r="W14" s="55">
        <f t="shared" si="2"/>
        <v>163.494</v>
      </c>
    </row>
    <row r="15" spans="1:23" s="3" customFormat="1" ht="74.099999999999994" customHeight="1">
      <c r="A15" s="91"/>
      <c r="B15" s="93"/>
      <c r="C15" s="25" t="s">
        <v>31</v>
      </c>
      <c r="D15" s="94"/>
      <c r="E15" s="27"/>
      <c r="F15" s="28" t="s">
        <v>42</v>
      </c>
      <c r="G15" s="24" t="s">
        <v>43</v>
      </c>
      <c r="H15" s="29" t="s">
        <v>34</v>
      </c>
      <c r="I15" s="113"/>
      <c r="J15" s="113"/>
      <c r="K15" s="113"/>
      <c r="L15" s="113"/>
      <c r="M15" s="113"/>
      <c r="N15" s="113"/>
      <c r="O15" s="113"/>
      <c r="P15" s="113"/>
      <c r="Q15" s="49">
        <v>10</v>
      </c>
      <c r="R15" s="50">
        <v>2.93</v>
      </c>
      <c r="S15" s="51">
        <f t="shared" si="0"/>
        <v>29.3</v>
      </c>
      <c r="T15" s="52">
        <v>2.98</v>
      </c>
      <c r="U15" s="53">
        <v>0.24</v>
      </c>
      <c r="V15" s="54">
        <f t="shared" si="1"/>
        <v>3.22</v>
      </c>
      <c r="W15" s="55">
        <f t="shared" si="2"/>
        <v>94.346000000000004</v>
      </c>
    </row>
    <row r="16" spans="1:23" s="4" customFormat="1" ht="81.95" customHeight="1">
      <c r="A16" s="31">
        <v>2</v>
      </c>
      <c r="B16" s="32" t="s">
        <v>44</v>
      </c>
      <c r="C16" s="33" t="s">
        <v>45</v>
      </c>
      <c r="D16" s="26"/>
      <c r="E16" s="34"/>
      <c r="F16" s="28" t="s">
        <v>46</v>
      </c>
      <c r="G16" s="35" t="s">
        <v>47</v>
      </c>
      <c r="H16" s="29" t="s">
        <v>34</v>
      </c>
      <c r="I16" s="113" t="s">
        <v>48</v>
      </c>
      <c r="J16" s="113"/>
      <c r="K16" s="113"/>
      <c r="L16" s="113"/>
      <c r="M16" s="113"/>
      <c r="N16" s="113"/>
      <c r="O16" s="113"/>
      <c r="P16" s="113"/>
      <c r="Q16" s="56">
        <v>15</v>
      </c>
      <c r="R16" s="50">
        <v>28.92</v>
      </c>
      <c r="S16" s="51">
        <f t="shared" si="0"/>
        <v>433.8</v>
      </c>
      <c r="T16" s="52">
        <v>2.98</v>
      </c>
      <c r="U16" s="53">
        <v>0.31</v>
      </c>
      <c r="V16" s="57">
        <f>U16+T16</f>
        <v>3.29</v>
      </c>
      <c r="W16" s="55">
        <f t="shared" si="2"/>
        <v>1427.202</v>
      </c>
    </row>
    <row r="17" spans="1:192" s="5" customFormat="1" ht="16.149999999999999" customHeight="1">
      <c r="A17" s="114" t="s">
        <v>49</v>
      </c>
      <c r="B17" s="115"/>
      <c r="C17" s="115"/>
      <c r="D17" s="36"/>
      <c r="E17" s="37"/>
      <c r="F17" s="37"/>
      <c r="G17" s="38"/>
      <c r="H17" s="36"/>
      <c r="I17" s="36"/>
      <c r="J17" s="36"/>
      <c r="K17" s="37"/>
      <c r="L17" s="37"/>
      <c r="M17" s="37"/>
      <c r="N17" s="37"/>
      <c r="O17" s="37"/>
      <c r="P17" s="37"/>
      <c r="Q17" s="36">
        <f>SUM(Q11:Q16)</f>
        <v>90</v>
      </c>
      <c r="R17" s="58"/>
      <c r="S17" s="58">
        <f>SUM(S11:S16)</f>
        <v>652.85</v>
      </c>
      <c r="T17" s="58"/>
      <c r="U17" s="59"/>
      <c r="V17" s="59"/>
      <c r="W17" s="60">
        <f>SUM(W11:W16)</f>
        <v>2229.7060000000001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</row>
    <row r="18" spans="1:192" s="5" customFormat="1" ht="18.75">
      <c r="A18" s="116"/>
      <c r="B18" s="117"/>
      <c r="C18" s="117"/>
      <c r="D18" s="117"/>
      <c r="E18" s="117"/>
      <c r="F18" s="118"/>
      <c r="G18" s="79"/>
      <c r="H18" s="117"/>
      <c r="I18" s="117"/>
      <c r="J18" s="117"/>
      <c r="K18" s="119"/>
      <c r="L18" s="119"/>
      <c r="M18" s="119"/>
      <c r="N18" s="119"/>
      <c r="O18" s="119"/>
      <c r="P18" s="117"/>
      <c r="Q18" s="120"/>
      <c r="R18" s="117"/>
      <c r="S18" s="117"/>
      <c r="T18" s="117"/>
      <c r="U18" s="121"/>
      <c r="V18" s="121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</row>
    <row r="19" spans="1:192" s="5" customFormat="1" ht="18">
      <c r="A19" s="122"/>
      <c r="B19" s="117"/>
      <c r="C19" s="117"/>
      <c r="D19" s="117"/>
      <c r="E19" s="117"/>
      <c r="F19" s="118"/>
      <c r="G19" s="79"/>
      <c r="H19" s="117"/>
      <c r="I19" s="117"/>
      <c r="J19" s="117"/>
      <c r="K19" s="119"/>
      <c r="L19" s="119"/>
      <c r="M19" s="119"/>
      <c r="N19" s="119"/>
      <c r="O19" s="119"/>
      <c r="P19" s="117"/>
      <c r="Q19" s="120"/>
      <c r="R19" s="117"/>
      <c r="S19" s="117"/>
      <c r="T19" s="117"/>
      <c r="U19" s="121"/>
      <c r="V19" s="121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</row>
    <row r="20" spans="1:192" s="5" customFormat="1" ht="15.75">
      <c r="A20" s="99"/>
      <c r="B20" s="99"/>
      <c r="C20" s="99"/>
      <c r="D20" s="99"/>
      <c r="E20" s="100"/>
      <c r="F20" s="101"/>
      <c r="G20" s="102"/>
      <c r="H20" s="99"/>
      <c r="I20" s="99"/>
      <c r="J20" s="99"/>
      <c r="K20" s="103"/>
      <c r="L20" s="103"/>
      <c r="M20" s="103"/>
      <c r="N20" s="103"/>
      <c r="O20" s="103"/>
      <c r="P20" s="99"/>
      <c r="Q20" s="104"/>
      <c r="R20" s="99"/>
      <c r="S20" s="99"/>
      <c r="T20" s="99"/>
      <c r="U20" s="105"/>
      <c r="V20" s="105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</row>
    <row r="21" spans="1:192" s="5" customFormat="1" ht="15.75">
      <c r="A21" s="99"/>
      <c r="B21" s="99"/>
      <c r="C21" s="99"/>
      <c r="D21" s="99"/>
      <c r="E21" s="100"/>
      <c r="F21" s="101"/>
      <c r="G21" s="102"/>
      <c r="H21" s="99"/>
      <c r="I21" s="99"/>
      <c r="J21" s="99"/>
      <c r="K21" s="103"/>
      <c r="L21" s="103"/>
      <c r="M21" s="103"/>
      <c r="N21" s="103"/>
      <c r="O21" s="103"/>
      <c r="P21" s="99"/>
      <c r="Q21" s="104"/>
      <c r="R21" s="99"/>
      <c r="S21" s="99"/>
      <c r="T21" s="99"/>
      <c r="U21" s="105"/>
      <c r="V21" s="105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</row>
    <row r="22" spans="1:192" s="5" customFormat="1" ht="15.75">
      <c r="A22" s="99"/>
      <c r="B22" s="99"/>
      <c r="C22" s="99"/>
      <c r="D22" s="99"/>
      <c r="E22" s="100"/>
      <c r="F22" s="101"/>
      <c r="G22" s="102"/>
      <c r="H22" s="99"/>
      <c r="I22" s="99"/>
      <c r="J22" s="99"/>
      <c r="K22" s="103"/>
      <c r="L22" s="103"/>
      <c r="M22" s="103"/>
      <c r="N22" s="103"/>
      <c r="O22" s="103"/>
      <c r="P22" s="99"/>
      <c r="Q22" s="104"/>
      <c r="R22" s="99"/>
      <c r="S22" s="99"/>
      <c r="T22" s="99"/>
      <c r="U22" s="105"/>
      <c r="V22" s="105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</row>
    <row r="23" spans="1:192" s="5" customFormat="1" ht="15.75">
      <c r="A23" s="106"/>
      <c r="B23" s="106"/>
      <c r="C23" s="106"/>
      <c r="D23" s="106"/>
      <c r="E23" s="107"/>
      <c r="F23" s="108"/>
      <c r="G23" s="109"/>
      <c r="H23" s="106"/>
      <c r="I23" s="106"/>
      <c r="J23" s="106"/>
      <c r="K23" s="110"/>
      <c r="L23" s="110"/>
      <c r="M23" s="110"/>
      <c r="N23" s="110"/>
      <c r="O23" s="110"/>
      <c r="P23" s="106"/>
      <c r="Q23" s="111"/>
      <c r="R23" s="106"/>
      <c r="S23" s="106"/>
      <c r="T23" s="106"/>
      <c r="U23" s="112"/>
      <c r="V23" s="112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</row>
    <row r="24" spans="1:192" s="5" customFormat="1" ht="15.75">
      <c r="A24" s="67"/>
      <c r="B24" s="68"/>
      <c r="C24" s="68"/>
      <c r="D24" s="68"/>
      <c r="E24" s="69"/>
      <c r="F24" s="70"/>
      <c r="G24" s="71"/>
      <c r="H24" s="68"/>
      <c r="I24" s="68"/>
      <c r="J24" s="68"/>
      <c r="K24" s="72"/>
      <c r="L24" s="72"/>
      <c r="M24" s="72"/>
      <c r="N24" s="72"/>
      <c r="O24" s="72"/>
      <c r="P24" s="68"/>
      <c r="Q24" s="73"/>
      <c r="R24" s="68"/>
      <c r="S24" s="68"/>
      <c r="T24" s="68"/>
      <c r="U24" s="74"/>
      <c r="V24" s="74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</row>
    <row r="25" spans="1:192" s="5" customFormat="1" ht="15.75">
      <c r="A25" s="67"/>
      <c r="B25" s="68"/>
      <c r="C25" s="68"/>
      <c r="D25" s="68"/>
      <c r="E25" s="69"/>
      <c r="F25" s="70"/>
      <c r="G25" s="71"/>
      <c r="H25" s="68"/>
      <c r="I25" s="68"/>
      <c r="J25" s="68"/>
      <c r="K25" s="72"/>
      <c r="L25" s="72"/>
      <c r="M25" s="72"/>
      <c r="N25" s="72"/>
      <c r="O25" s="72"/>
      <c r="P25" s="68"/>
      <c r="Q25" s="73"/>
      <c r="R25" s="68"/>
      <c r="S25" s="68"/>
      <c r="T25" s="68"/>
      <c r="U25" s="74"/>
      <c r="V25" s="74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</row>
    <row r="26" spans="1:192" s="5" customFormat="1" ht="15.75">
      <c r="A26" s="67"/>
      <c r="B26" s="68"/>
      <c r="C26" s="68"/>
      <c r="D26" s="68"/>
      <c r="E26" s="69"/>
      <c r="F26" s="70"/>
      <c r="G26" s="71"/>
      <c r="H26" s="68"/>
      <c r="I26" s="68"/>
      <c r="J26" s="68"/>
      <c r="K26" s="72"/>
      <c r="L26" s="72"/>
      <c r="M26" s="72"/>
      <c r="N26" s="72"/>
      <c r="O26" s="72"/>
      <c r="P26" s="68"/>
      <c r="Q26" s="73"/>
      <c r="R26" s="68"/>
      <c r="S26" s="68"/>
      <c r="T26" s="68"/>
      <c r="U26" s="74"/>
      <c r="V26" s="74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</row>
    <row r="27" spans="1:192" s="5" customFormat="1" ht="15.75">
      <c r="A27" s="75"/>
      <c r="B27" s="76"/>
      <c r="C27" s="76"/>
      <c r="D27" s="76"/>
      <c r="E27" s="77"/>
      <c r="F27" s="78"/>
      <c r="G27" s="79"/>
      <c r="H27" s="76"/>
      <c r="I27" s="76"/>
      <c r="J27" s="76"/>
      <c r="K27" s="80"/>
      <c r="L27" s="80"/>
      <c r="M27" s="80"/>
      <c r="N27" s="80"/>
      <c r="O27" s="80"/>
      <c r="P27" s="76"/>
      <c r="Q27" s="81"/>
      <c r="R27" s="76"/>
      <c r="S27" s="76"/>
      <c r="T27" s="76"/>
      <c r="U27" s="82"/>
      <c r="V27" s="82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</row>
    <row r="28" spans="1:192" s="5" customFormat="1" ht="15.75">
      <c r="A28" s="83"/>
      <c r="B28" s="83"/>
      <c r="C28" s="83"/>
      <c r="D28" s="83"/>
      <c r="E28" s="84"/>
      <c r="F28" s="85"/>
      <c r="G28" s="84"/>
      <c r="H28" s="83"/>
      <c r="I28" s="83"/>
      <c r="J28" s="83"/>
      <c r="K28" s="86"/>
      <c r="L28" s="86"/>
      <c r="M28" s="86"/>
      <c r="N28" s="86"/>
      <c r="O28" s="86"/>
      <c r="P28" s="83"/>
      <c r="Q28" s="87"/>
      <c r="R28" s="83"/>
      <c r="S28" s="83"/>
      <c r="T28" s="83"/>
      <c r="U28" s="88"/>
      <c r="V28" s="88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</row>
  </sheetData>
  <mergeCells count="51">
    <mergeCell ref="A1:U1"/>
    <mergeCell ref="A2:U2"/>
    <mergeCell ref="A3:U3"/>
    <mergeCell ref="A4:U4"/>
    <mergeCell ref="A5:C5"/>
    <mergeCell ref="G5:H5"/>
    <mergeCell ref="A6:B6"/>
    <mergeCell ref="G6:O6"/>
    <mergeCell ref="P6:R6"/>
    <mergeCell ref="T6:W6"/>
    <mergeCell ref="A7:C7"/>
    <mergeCell ref="G7:H7"/>
    <mergeCell ref="P7:R7"/>
    <mergeCell ref="T7:W7"/>
    <mergeCell ref="I11:P11"/>
    <mergeCell ref="I12:P12"/>
    <mergeCell ref="I13:P13"/>
    <mergeCell ref="I14:P14"/>
    <mergeCell ref="I15:P15"/>
    <mergeCell ref="I16:P16"/>
    <mergeCell ref="A17:C17"/>
    <mergeCell ref="A18:V18"/>
    <mergeCell ref="A19:V19"/>
    <mergeCell ref="A20:V20"/>
    <mergeCell ref="A21:V21"/>
    <mergeCell ref="A22:V22"/>
    <mergeCell ref="A23:V23"/>
    <mergeCell ref="A24:V24"/>
    <mergeCell ref="A25:V25"/>
    <mergeCell ref="W8:W9"/>
    <mergeCell ref="A26:V26"/>
    <mergeCell ref="A27:V27"/>
    <mergeCell ref="A28:V28"/>
    <mergeCell ref="A8:A9"/>
    <mergeCell ref="A11:A15"/>
    <mergeCell ref="B8:B9"/>
    <mergeCell ref="B11:B15"/>
    <mergeCell ref="C8:C9"/>
    <mergeCell ref="D8:D9"/>
    <mergeCell ref="D11:D15"/>
    <mergeCell ref="E8:E10"/>
    <mergeCell ref="F8:F9"/>
    <mergeCell ref="G8:G9"/>
    <mergeCell ref="H8:H9"/>
    <mergeCell ref="Q8:Q9"/>
    <mergeCell ref="I8:P9"/>
    <mergeCell ref="S8:S9"/>
    <mergeCell ref="T8:T9"/>
    <mergeCell ref="U8:U9"/>
    <mergeCell ref="V8:V9"/>
    <mergeCell ref="R8:R9"/>
  </mergeCells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10DFA8-600F-4FED-A732-D09665F5D948}"/>
</file>

<file path=customXml/itemProps2.xml><?xml version="1.0" encoding="utf-8"?>
<ds:datastoreItem xmlns:ds="http://schemas.openxmlformats.org/officeDocument/2006/customXml" ds:itemID="{53D2A729-D5EC-43A2-8324-E24E6999890F}"/>
</file>

<file path=customXml/itemProps3.xml><?xml version="1.0" encoding="utf-8"?>
<ds:datastoreItem xmlns:ds="http://schemas.openxmlformats.org/officeDocument/2006/customXml" ds:itemID="{346928BC-A65A-47FA-8645-E80D9F756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Luis Fernando Pires dos Santos | Operação</cp:lastModifiedBy>
  <cp:revision/>
  <dcterms:created xsi:type="dcterms:W3CDTF">2018-11-30T09:18:00Z</dcterms:created>
  <dcterms:modified xsi:type="dcterms:W3CDTF">2026-05-26T14:15:49Z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78B693DA4206404EAA9CDF32CCA73A7D_13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7127300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