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17"/>
  <workbookPr/>
  <mc:AlternateContent xmlns:mc="http://schemas.openxmlformats.org/markup-compatibility/2006">
    <mc:Choice Requires="x15">
      <x15ac:absPath xmlns:x15ac="http://schemas.microsoft.com/office/spreadsheetml/2010/11/ac" url="https://azimemoda-my.sharepoint.com/personal/renato_azime_com_br/Documents/00-Geral/Diretoria/02-Compras/01-Pedidos/202602/Aprovados Alinare/menus prontos pra confirma/"/>
    </mc:Choice>
  </mc:AlternateContent>
  <xr:revisionPtr revIDLastSave="0" documentId="8_{5DBBC61B-871F-476A-A8CE-6E5A129C3AB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299 (3)" sheetId="3" r:id="rId1"/>
  </sheets>
  <definedNames>
    <definedName name="_xlnm._FilterDatabase" localSheetId="0" hidden="1">'S299 (3)'!$A$10:$GM$27</definedName>
    <definedName name="_xlnm.Print_Area" localSheetId="0">'S299 (3)'!$A$1:$X$27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" i="3" l="1"/>
  <c r="W12" i="3"/>
  <c r="X12" i="3"/>
  <c r="S14" i="3"/>
  <c r="W14" i="3"/>
  <c r="X14" i="3"/>
  <c r="S13" i="3"/>
  <c r="W13" i="3"/>
  <c r="X13" i="3"/>
  <c r="S11" i="3"/>
  <c r="W11" i="3"/>
  <c r="X11" i="3"/>
  <c r="S15" i="3"/>
  <c r="W15" i="3"/>
  <c r="X15" i="3"/>
  <c r="X16" i="3"/>
  <c r="S16" i="3"/>
  <c r="Q16" i="3"/>
</calcChain>
</file>

<file path=xl/sharedStrings.xml><?xml version="1.0" encoding="utf-8"?>
<sst xmlns="http://schemas.openxmlformats.org/spreadsheetml/2006/main" count="61" uniqueCount="46">
  <si>
    <r>
      <rPr>
        <b/>
        <sz val="12"/>
        <rFont val="宋体"/>
        <charset val="134"/>
      </rPr>
      <t>下单日期</t>
    </r>
    <r>
      <rPr>
        <b/>
        <sz val="12"/>
        <rFont val="Arial"/>
        <family val="2"/>
      </rPr>
      <t>Order date:</t>
    </r>
  </si>
  <si>
    <r>
      <rPr>
        <b/>
        <sz val="12"/>
        <rFont val="宋体"/>
        <charset val="134"/>
      </rPr>
      <t>出货期</t>
    </r>
    <r>
      <rPr>
        <b/>
        <sz val="12"/>
        <rFont val="Arial"/>
        <family val="2"/>
      </rPr>
      <t>Delivery date:</t>
    </r>
  </si>
  <si>
    <t>Ref.</t>
  </si>
  <si>
    <t>Dec.</t>
  </si>
  <si>
    <t>Item No.</t>
  </si>
  <si>
    <t>Pic.</t>
  </si>
  <si>
    <t>款式做法以及改版说明</t>
  </si>
  <si>
    <t>STONE COLOR</t>
  </si>
  <si>
    <t>CHINESE</t>
  </si>
  <si>
    <t>Plating</t>
  </si>
  <si>
    <r>
      <rPr>
        <b/>
        <sz val="12"/>
        <rFont val="Arial"/>
        <family val="2"/>
      </rPr>
      <t xml:space="preserve">SIZE </t>
    </r>
    <r>
      <rPr>
        <b/>
        <sz val="12"/>
        <rFont val="宋体"/>
        <charset val="134"/>
      </rPr>
      <t>美围</t>
    </r>
  </si>
  <si>
    <t>Q'ty          (pcs)</t>
  </si>
  <si>
    <t>Unit Weight(g)</t>
  </si>
  <si>
    <t>Total WT(G)</t>
  </si>
  <si>
    <t>mossanite stone price by pcs</t>
  </si>
  <si>
    <t>Silver Price   (USD/g)</t>
  </si>
  <si>
    <t>Labor Price   (USD/g)</t>
  </si>
  <si>
    <t>Price   (USD/g)</t>
  </si>
  <si>
    <t>Total               (USD)</t>
  </si>
  <si>
    <t>序号</t>
  </si>
  <si>
    <t>产品类别</t>
  </si>
  <si>
    <t>产品编号</t>
  </si>
  <si>
    <t>图片</t>
  </si>
  <si>
    <t>石头色</t>
  </si>
  <si>
    <t>石头色中文</t>
  </si>
  <si>
    <t>电镀</t>
  </si>
  <si>
    <r>
      <rPr>
        <b/>
        <sz val="12"/>
        <rFont val="宋体"/>
        <charset val="134"/>
      </rPr>
      <t>数量（</t>
    </r>
    <r>
      <rPr>
        <b/>
        <sz val="12"/>
        <rFont val="Arial"/>
        <family val="2"/>
      </rPr>
      <t>pcs</t>
    </r>
    <r>
      <rPr>
        <b/>
        <sz val="12"/>
        <rFont val="宋体"/>
        <charset val="134"/>
      </rPr>
      <t>）</t>
    </r>
  </si>
  <si>
    <r>
      <rPr>
        <b/>
        <sz val="12"/>
        <rFont val="宋体"/>
        <charset val="134"/>
      </rPr>
      <t>成品单重（</t>
    </r>
    <r>
      <rPr>
        <b/>
        <sz val="12"/>
        <rFont val="Arial"/>
        <family val="2"/>
      </rPr>
      <t>g/pcs</t>
    </r>
    <r>
      <rPr>
        <b/>
        <sz val="12"/>
        <rFont val="宋体"/>
        <charset val="134"/>
      </rPr>
      <t>）</t>
    </r>
  </si>
  <si>
    <r>
      <rPr>
        <b/>
        <sz val="12"/>
        <rFont val="宋体"/>
        <charset val="134"/>
      </rPr>
      <t>总重（</t>
    </r>
    <r>
      <rPr>
        <b/>
        <sz val="12"/>
        <rFont val="Arial"/>
        <family val="2"/>
      </rPr>
      <t>g</t>
    </r>
    <r>
      <rPr>
        <b/>
        <sz val="12"/>
        <rFont val="宋体"/>
        <charset val="134"/>
      </rPr>
      <t>）</t>
    </r>
  </si>
  <si>
    <t>莫桑石价/件</t>
  </si>
  <si>
    <t>银价单价按克</t>
  </si>
  <si>
    <t>工费单价按克</t>
  </si>
  <si>
    <t>单价按克</t>
  </si>
  <si>
    <t>总金额</t>
  </si>
  <si>
    <t>手链</t>
  </si>
  <si>
    <t>SB13851-S</t>
  </si>
  <si>
    <t>moissanite</t>
  </si>
  <si>
    <t>白莫桑石</t>
  </si>
  <si>
    <r>
      <rPr>
        <sz val="11"/>
        <rFont val="Arial"/>
        <family val="2"/>
      </rPr>
      <t xml:space="preserve">RODHIUM PLATE </t>
    </r>
    <r>
      <rPr>
        <sz val="11"/>
        <rFont val="宋体"/>
        <charset val="134"/>
      </rPr>
      <t>镀白</t>
    </r>
  </si>
  <si>
    <r>
      <rPr>
        <sz val="11"/>
        <rFont val="Arial"/>
        <family val="2"/>
      </rPr>
      <t>15,5CM+1CM+1CM,</t>
    </r>
    <r>
      <rPr>
        <sz val="11"/>
        <rFont val="宋体"/>
        <charset val="134"/>
      </rPr>
      <t>延长链同原链条</t>
    </r>
    <r>
      <rPr>
        <sz val="11"/>
        <rFont val="Arial"/>
        <family val="2"/>
      </rPr>
      <t>,</t>
    </r>
    <r>
      <rPr>
        <sz val="11"/>
        <rFont val="宋体"/>
        <charset val="134"/>
      </rPr>
      <t>水滴扣，不要尾缀</t>
    </r>
  </si>
  <si>
    <r>
      <rPr>
        <sz val="11"/>
        <color theme="1"/>
        <rFont val="Arial"/>
        <family val="2"/>
      </rPr>
      <t>gold</t>
    </r>
    <r>
      <rPr>
        <sz val="11"/>
        <color theme="1"/>
        <rFont val="宋体"/>
        <charset val="134"/>
      </rPr>
      <t>（</t>
    </r>
    <r>
      <rPr>
        <sz val="11"/>
        <color theme="1"/>
        <rFont val="Arial"/>
        <family val="2"/>
      </rPr>
      <t xml:space="preserve"> S208  2025-03#  GP+</t>
    </r>
    <r>
      <rPr>
        <sz val="11"/>
        <color theme="1"/>
        <rFont val="宋体"/>
        <charset val="134"/>
      </rPr>
      <t>泳漆色板）</t>
    </r>
  </si>
  <si>
    <t>SB13966-S</t>
  </si>
  <si>
    <r>
      <rPr>
        <sz val="11"/>
        <color theme="1"/>
        <rFont val="Arial"/>
        <family val="2"/>
      </rPr>
      <t xml:space="preserve">RODHIUM PLATE </t>
    </r>
    <r>
      <rPr>
        <sz val="11"/>
        <color theme="1"/>
        <rFont val="宋体"/>
        <charset val="134"/>
      </rPr>
      <t>镀白</t>
    </r>
  </si>
  <si>
    <r>
      <rPr>
        <sz val="11"/>
        <rFont val="Arial"/>
        <family val="2"/>
      </rPr>
      <t>gold</t>
    </r>
    <r>
      <rPr>
        <sz val="11"/>
        <rFont val="宋体"/>
        <charset val="134"/>
      </rPr>
      <t>（</t>
    </r>
    <r>
      <rPr>
        <sz val="11"/>
        <rFont val="Arial"/>
        <family val="2"/>
      </rPr>
      <t xml:space="preserve"> S208  2025-03#  GP+</t>
    </r>
    <r>
      <rPr>
        <sz val="11"/>
        <rFont val="宋体"/>
        <charset val="134"/>
      </rPr>
      <t>泳漆色板）</t>
    </r>
  </si>
  <si>
    <t>SB13881-S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</si>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</sst>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* #,##0.00_ ;_ * \-#,##0.00_ ;_ * &quot;-&quot;??_ ;_ @_ "/>
    <numFmt numFmtId="165" formatCode="0.00_ "/>
    <numFmt numFmtId="166" formatCode="&quot;US$&quot;#,##0.00_);[Red]\(&quot;US$&quot;#,##0.00\)"/>
    <numFmt numFmtId="167" formatCode="&quot;US$&quot;#,##0.00;\-&quot;US$&quot;#,##0.00"/>
    <numFmt numFmtId="168" formatCode="0.00_);[Red]\(0.00\)"/>
    <numFmt numFmtId="169" formatCode="0_);[Red]\(0\)"/>
    <numFmt numFmtId="170" formatCode="yyyy/m/d;@"/>
    <numFmt numFmtId="171" formatCode="0.0_);[Red]\(0.0\)"/>
  </numFmts>
  <fonts count="34">
    <font>
      <sz val="12"/>
      <name val="宋体"/>
      <charset val="134"/>
    </font>
    <font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2"/>
      <color rgb="FFFF0000"/>
      <name val="宋体"/>
      <charset val="134"/>
    </font>
    <font>
      <b/>
      <sz val="18"/>
      <name val="Times New Roman"/>
      <family val="1"/>
    </font>
    <font>
      <b/>
      <sz val="12"/>
      <name val="Arial"/>
      <family val="2"/>
    </font>
    <font>
      <b/>
      <sz val="11"/>
      <name val="Times New Roman"/>
      <family val="1"/>
    </font>
    <font>
      <b/>
      <sz val="18"/>
      <name val="Arial"/>
      <family val="2"/>
    </font>
    <font>
      <b/>
      <sz val="12"/>
      <name val="宋体"/>
      <charset val="134"/>
    </font>
    <font>
      <b/>
      <sz val="12"/>
      <color indexed="8"/>
      <name val="宋体"/>
      <charset val="134"/>
    </font>
    <font>
      <b/>
      <sz val="12"/>
      <color indexed="8"/>
      <name val="Arial"/>
      <family val="2"/>
    </font>
    <font>
      <b/>
      <sz val="12"/>
      <color rgb="FFFF0000"/>
      <name val="宋体"/>
      <charset val="134"/>
    </font>
    <font>
      <b/>
      <sz val="12"/>
      <color rgb="FFFF0000"/>
      <name val="Arial"/>
      <family val="2"/>
    </font>
    <font>
      <sz val="11"/>
      <color theme="1"/>
      <name val="宋体"/>
      <charset val="134"/>
    </font>
    <font>
      <b/>
      <sz val="11"/>
      <color indexed="12"/>
      <name val="Arial"/>
      <family val="2"/>
    </font>
    <font>
      <sz val="11"/>
      <color rgb="FFFF0000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4"/>
      <color rgb="FFFF0000"/>
      <name val="宋体"/>
      <charset val="134"/>
    </font>
    <font>
      <b/>
      <sz val="14"/>
      <color rgb="FFFF000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8"/>
      <name val="Arial"/>
      <family val="2"/>
    </font>
    <font>
      <b/>
      <sz val="18"/>
      <name val="宋体"/>
      <charset val="134"/>
    </font>
    <font>
      <b/>
      <sz val="18"/>
      <color rgb="FFFF0000"/>
      <name val="宋体"/>
      <charset val="134"/>
    </font>
    <font>
      <sz val="18"/>
      <color rgb="FFFF0000"/>
      <name val="Arial"/>
      <family val="2"/>
    </font>
    <font>
      <b/>
      <sz val="18"/>
      <color rgb="FFFF0000"/>
      <name val="Arial"/>
      <family val="2"/>
    </font>
    <font>
      <sz val="11"/>
      <color rgb="FF000000"/>
      <name val="Arial"/>
      <family val="2"/>
    </font>
    <font>
      <b/>
      <sz val="10"/>
      <color rgb="FFFF0000"/>
      <name val="Arial"/>
      <family val="2"/>
    </font>
    <font>
      <sz val="10"/>
      <color indexed="8"/>
      <name val="Arial"/>
      <family val="2"/>
    </font>
    <font>
      <sz val="12"/>
      <name val="新細明體"/>
      <charset val="134"/>
    </font>
    <font>
      <sz val="11"/>
      <name val="宋体"/>
      <charset val="134"/>
    </font>
    <font>
      <sz val="12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7">
    <xf numFmtId="0" fontId="0" fillId="0" borderId="0">
      <alignment vertical="top"/>
    </xf>
    <xf numFmtId="164" fontId="33" fillId="0" borderId="0" applyFont="0" applyFill="0" applyBorder="0" applyAlignment="0" applyProtection="0"/>
    <xf numFmtId="0" fontId="33" fillId="0" borderId="0">
      <alignment vertical="top"/>
    </xf>
    <xf numFmtId="0" fontId="30" fillId="0" borderId="0">
      <alignment vertical="top"/>
    </xf>
    <xf numFmtId="0" fontId="33" fillId="0" borderId="0">
      <alignment vertical="center"/>
    </xf>
    <xf numFmtId="0" fontId="31" fillId="0" borderId="0"/>
    <xf numFmtId="0" fontId="30" fillId="0" borderId="0">
      <alignment vertical="top"/>
    </xf>
  </cellStyleXfs>
  <cellXfs count="147">
    <xf numFmtId="0" fontId="0" fillId="0" borderId="0" xfId="0">
      <alignment vertical="top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/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8" fontId="6" fillId="0" borderId="0" xfId="0" applyNumberFormat="1" applyFont="1" applyAlignment="1">
      <alignment horizontal="left" vertical="center"/>
    </xf>
    <xf numFmtId="0" fontId="9" fillId="0" borderId="0" xfId="0" applyFont="1" applyAlignment="1">
      <alignment vertical="center"/>
    </xf>
    <xf numFmtId="0" fontId="10" fillId="0" borderId="0" xfId="1" applyNumberFormat="1" applyFont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69" fontId="14" fillId="0" borderId="4" xfId="5" applyNumberFormat="1" applyFont="1" applyBorder="1" applyAlignment="1">
      <alignment horizontal="center" vertical="center" wrapText="1"/>
    </xf>
    <xf numFmtId="169" fontId="2" fillId="0" borderId="4" xfId="5" applyNumberFormat="1" applyFont="1" applyBorder="1" applyAlignment="1">
      <alignment horizontal="center" vertical="center" wrapText="1"/>
    </xf>
    <xf numFmtId="0" fontId="15" fillId="0" borderId="4" xfId="5" applyFont="1" applyBorder="1" applyAlignment="1">
      <alignment horizontal="center" vertical="center" wrapText="1"/>
    </xf>
    <xf numFmtId="49" fontId="16" fillId="0" borderId="4" xfId="0" applyNumberFormat="1" applyFont="1" applyBorder="1" applyAlignment="1">
      <alignment horizontal="center" vertical="center" wrapText="1" shrinkToFit="1" readingOrder="1"/>
    </xf>
    <xf numFmtId="0" fontId="17" fillId="3" borderId="4" xfId="0" applyFont="1" applyFill="1" applyBorder="1" applyAlignment="1">
      <alignment horizontal="center" vertical="center" wrapText="1"/>
    </xf>
    <xf numFmtId="0" fontId="14" fillId="3" borderId="4" xfId="6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 wrapText="1"/>
    </xf>
    <xf numFmtId="0" fontId="12" fillId="0" borderId="0" xfId="1" applyNumberFormat="1" applyFont="1" applyAlignment="1">
      <alignment vertical="center" wrapText="1"/>
    </xf>
    <xf numFmtId="167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170" fontId="9" fillId="0" borderId="0" xfId="0" applyNumberFormat="1" applyFont="1" applyAlignment="1">
      <alignment horizontal="center" vertical="center"/>
    </xf>
    <xf numFmtId="14" fontId="8" fillId="0" borderId="0" xfId="0" applyNumberFormat="1" applyFont="1" applyAlignment="1">
      <alignment horizontal="left" vertical="center" wrapText="1"/>
    </xf>
    <xf numFmtId="14" fontId="25" fillId="0" borderId="0" xfId="0" applyNumberFormat="1" applyFont="1" applyAlignment="1">
      <alignment horizontal="left" vertical="center" wrapText="1"/>
    </xf>
    <xf numFmtId="171" fontId="9" fillId="2" borderId="4" xfId="0" applyNumberFormat="1" applyFont="1" applyFill="1" applyBorder="1" applyAlignment="1">
      <alignment horizontal="center" vertical="center" wrapText="1"/>
    </xf>
    <xf numFmtId="165" fontId="9" fillId="2" borderId="4" xfId="0" applyNumberFormat="1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 shrinkToFit="1" readingOrder="1"/>
    </xf>
    <xf numFmtId="165" fontId="2" fillId="0" borderId="4" xfId="0" applyNumberFormat="1" applyFont="1" applyBorder="1" applyAlignment="1">
      <alignment horizontal="center" vertical="center"/>
    </xf>
    <xf numFmtId="167" fontId="2" fillId="0" borderId="4" xfId="0" applyNumberFormat="1" applyFont="1" applyBorder="1" applyAlignment="1">
      <alignment horizontal="center" vertical="center"/>
    </xf>
    <xf numFmtId="167" fontId="2" fillId="0" borderId="13" xfId="0" applyNumberFormat="1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167" fontId="2" fillId="3" borderId="4" xfId="0" applyNumberFormat="1" applyFont="1" applyFill="1" applyBorder="1" applyAlignment="1">
      <alignment horizontal="center" vertical="center" wrapText="1"/>
    </xf>
    <xf numFmtId="165" fontId="6" fillId="2" borderId="6" xfId="0" applyNumberFormat="1" applyFont="1" applyFill="1" applyBorder="1" applyAlignment="1">
      <alignment horizontal="center" vertical="center" wrapText="1"/>
    </xf>
    <xf numFmtId="167" fontId="1" fillId="2" borderId="6" xfId="0" applyNumberFormat="1" applyFont="1" applyFill="1" applyBorder="1" applyAlignment="1">
      <alignment horizontal="center" vertical="center" wrapText="1"/>
    </xf>
    <xf numFmtId="167" fontId="6" fillId="2" borderId="14" xfId="0" applyNumberFormat="1" applyFont="1" applyFill="1" applyBorder="1" applyAlignment="1">
      <alignment horizontal="center" vertical="center"/>
    </xf>
    <xf numFmtId="0" fontId="2" fillId="0" borderId="0" xfId="0" applyFont="1" applyAlignment="1"/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165" fontId="6" fillId="2" borderId="2" xfId="0" applyNumberFormat="1" applyFont="1" applyFill="1" applyBorder="1" applyAlignment="1">
      <alignment horizontal="center" vertical="center" wrapText="1"/>
    </xf>
    <xf numFmtId="165" fontId="6" fillId="2" borderId="4" xfId="0" applyNumberFormat="1" applyFont="1" applyFill="1" applyBorder="1" applyAlignment="1">
      <alignment horizontal="center" vertical="center" wrapText="1"/>
    </xf>
    <xf numFmtId="171" fontId="6" fillId="2" borderId="2" xfId="0" applyNumberFormat="1" applyFont="1" applyFill="1" applyBorder="1" applyAlignment="1">
      <alignment horizontal="center" vertical="center" wrapText="1"/>
    </xf>
    <xf numFmtId="171" fontId="6" fillId="2" borderId="4" xfId="0" applyNumberFormat="1" applyFont="1" applyFill="1" applyBorder="1" applyAlignment="1">
      <alignment horizontal="center" vertical="center" wrapText="1"/>
    </xf>
    <xf numFmtId="0" fontId="15" fillId="0" borderId="4" xfId="5" applyFont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21" fillId="0" borderId="10" xfId="0" applyFont="1" applyBorder="1" applyAlignment="1">
      <alignment horizontal="left" vertical="center"/>
    </xf>
    <xf numFmtId="0" fontId="21" fillId="0" borderId="11" xfId="0" applyFont="1" applyBorder="1" applyAlignment="1">
      <alignment horizontal="left" vertical="center"/>
    </xf>
    <xf numFmtId="0" fontId="18" fillId="0" borderId="11" xfId="0" applyFont="1" applyBorder="1" applyAlignment="1">
      <alignment horizontal="left" vertical="center"/>
    </xf>
    <xf numFmtId="0" fontId="21" fillId="0" borderId="11" xfId="0" applyFont="1" applyBorder="1" applyAlignment="1">
      <alignment horizontal="left" vertical="center" wrapText="1"/>
    </xf>
    <xf numFmtId="0" fontId="13" fillId="0" borderId="11" xfId="0" applyFont="1" applyBorder="1" applyAlignment="1">
      <alignment horizontal="left" vertical="center"/>
    </xf>
    <xf numFmtId="0" fontId="21" fillId="0" borderId="11" xfId="0" applyFont="1" applyBorder="1" applyAlignment="1">
      <alignment horizontal="center" vertical="center" wrapText="1"/>
    </xf>
    <xf numFmtId="165" fontId="21" fillId="0" borderId="11" xfId="0" applyNumberFormat="1" applyFont="1" applyBorder="1" applyAlignment="1">
      <alignment horizontal="left" vertical="center"/>
    </xf>
    <xf numFmtId="0" fontId="22" fillId="0" borderId="11" xfId="0" applyFont="1" applyBorder="1" applyAlignment="1">
      <alignment horizontal="left" vertical="center"/>
    </xf>
    <xf numFmtId="0" fontId="21" fillId="0" borderId="7" xfId="0" applyFont="1" applyBorder="1" applyAlignment="1">
      <alignment horizontal="left" vertical="center"/>
    </xf>
    <xf numFmtId="0" fontId="21" fillId="0" borderId="8" xfId="0" applyFont="1" applyBorder="1" applyAlignment="1">
      <alignment horizontal="left" vertical="center"/>
    </xf>
    <xf numFmtId="0" fontId="18" fillId="0" borderId="8" xfId="0" applyFont="1" applyBorder="1" applyAlignment="1">
      <alignment horizontal="left" vertical="center"/>
    </xf>
    <xf numFmtId="0" fontId="21" fillId="0" borderId="8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/>
    </xf>
    <xf numFmtId="0" fontId="21" fillId="0" borderId="8" xfId="0" applyFont="1" applyBorder="1" applyAlignment="1">
      <alignment horizontal="center" vertical="center" wrapText="1"/>
    </xf>
    <xf numFmtId="165" fontId="21" fillId="0" borderId="8" xfId="0" applyNumberFormat="1" applyFont="1" applyBorder="1" applyAlignment="1">
      <alignment horizontal="left" vertical="center"/>
    </xf>
    <xf numFmtId="0" fontId="22" fillId="0" borderId="8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165" fontId="6" fillId="0" borderId="4" xfId="0" applyNumberFormat="1" applyFont="1" applyBorder="1" applyAlignment="1">
      <alignment horizontal="left" vertical="center"/>
    </xf>
    <xf numFmtId="0" fontId="22" fillId="0" borderId="4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69" fontId="14" fillId="0" borderId="4" xfId="5" applyNumberFormat="1" applyFont="1" applyBorder="1" applyAlignment="1">
      <alignment horizontal="center" vertical="center" wrapText="1"/>
    </xf>
    <xf numFmtId="169" fontId="17" fillId="0" borderId="4" xfId="5" applyNumberFormat="1" applyFont="1" applyBorder="1" applyAlignment="1">
      <alignment horizontal="center" vertical="center" wrapText="1"/>
    </xf>
    <xf numFmtId="169" fontId="2" fillId="0" borderId="4" xfId="5" applyNumberFormat="1" applyFont="1" applyBorder="1" applyAlignment="1">
      <alignment horizontal="center" vertical="center" wrapText="1"/>
    </xf>
    <xf numFmtId="0" fontId="21" fillId="0" borderId="4" xfId="0" applyFont="1" applyBorder="1" applyAlignment="1">
      <alignment vertical="center"/>
    </xf>
    <xf numFmtId="0" fontId="18" fillId="0" borderId="4" xfId="0" applyFont="1" applyBorder="1" applyAlignment="1">
      <alignment vertical="center"/>
    </xf>
    <xf numFmtId="0" fontId="21" fillId="0" borderId="4" xfId="0" applyFont="1" applyBorder="1" applyAlignment="1">
      <alignment vertical="center" wrapText="1"/>
    </xf>
    <xf numFmtId="0" fontId="13" fillId="0" borderId="4" xfId="0" applyFont="1" applyBorder="1" applyAlignment="1">
      <alignment vertical="center"/>
    </xf>
    <xf numFmtId="0" fontId="21" fillId="0" borderId="4" xfId="0" applyFont="1" applyBorder="1" applyAlignment="1">
      <alignment horizontal="center" vertical="center" wrapText="1"/>
    </xf>
    <xf numFmtId="165" fontId="21" fillId="0" borderId="4" xfId="0" applyNumberFormat="1" applyFont="1" applyBorder="1" applyAlignment="1">
      <alignment vertical="center"/>
    </xf>
    <xf numFmtId="0" fontId="22" fillId="0" borderId="4" xfId="0" applyFont="1" applyBorder="1" applyAlignment="1">
      <alignment vertical="center"/>
    </xf>
    <xf numFmtId="0" fontId="21" fillId="0" borderId="9" xfId="0" applyFont="1" applyBorder="1" applyAlignment="1">
      <alignment horizontal="left" vertical="center"/>
    </xf>
    <xf numFmtId="0" fontId="18" fillId="0" borderId="9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/>
    </xf>
    <xf numFmtId="0" fontId="21" fillId="0" borderId="9" xfId="0" applyFont="1" applyBorder="1" applyAlignment="1">
      <alignment horizontal="center" vertical="center" wrapText="1"/>
    </xf>
    <xf numFmtId="165" fontId="21" fillId="0" borderId="9" xfId="0" applyNumberFormat="1" applyFont="1" applyBorder="1" applyAlignment="1">
      <alignment horizontal="left" vertical="center"/>
    </xf>
    <xf numFmtId="0" fontId="22" fillId="0" borderId="9" xfId="0" applyFont="1" applyBorder="1" applyAlignment="1">
      <alignment horizontal="left" vertical="center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/>
    </xf>
    <xf numFmtId="0" fontId="20" fillId="0" borderId="8" xfId="0" applyFont="1" applyBorder="1" applyAlignment="1">
      <alignment horizontal="left" vertical="center"/>
    </xf>
    <xf numFmtId="0" fontId="20" fillId="0" borderId="8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center" vertical="center" wrapText="1"/>
    </xf>
    <xf numFmtId="165" fontId="20" fillId="0" borderId="8" xfId="0" applyNumberFormat="1" applyFont="1" applyBorder="1" applyAlignment="1">
      <alignment horizontal="left" vertical="center"/>
    </xf>
    <xf numFmtId="0" fontId="29" fillId="0" borderId="8" xfId="0" applyFont="1" applyBorder="1" applyAlignment="1">
      <alignment horizontal="left" vertical="center"/>
    </xf>
    <xf numFmtId="0" fontId="20" fillId="0" borderId="7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 wrapText="1"/>
    </xf>
    <xf numFmtId="168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4" fontId="8" fillId="0" borderId="0" xfId="0" applyNumberFormat="1" applyFont="1" applyAlignment="1">
      <alignment horizontal="left" vertical="center" wrapText="1"/>
    </xf>
    <xf numFmtId="167" fontId="23" fillId="0" borderId="0" xfId="0" applyNumberFormat="1" applyFont="1" applyAlignment="1">
      <alignment horizontal="left" vertical="center" wrapText="1"/>
    </xf>
    <xf numFmtId="14" fontId="24" fillId="0" borderId="0" xfId="0" applyNumberFormat="1" applyFont="1" applyAlignment="1">
      <alignment horizontal="left" vertical="center" wrapText="1"/>
    </xf>
    <xf numFmtId="0" fontId="10" fillId="0" borderId="0" xfId="1" applyNumberFormat="1" applyFont="1" applyAlignment="1">
      <alignment horizontal="left" vertical="center" wrapText="1"/>
    </xf>
    <xf numFmtId="0" fontId="11" fillId="0" borderId="0" xfId="1" applyNumberFormat="1" applyFont="1" applyAlignment="1">
      <alignment horizontal="left" vertical="center" wrapText="1"/>
    </xf>
    <xf numFmtId="0" fontId="12" fillId="0" borderId="0" xfId="1" applyNumberFormat="1" applyFont="1" applyBorder="1" applyAlignment="1">
      <alignment horizontal="center" vertical="center" wrapText="1"/>
    </xf>
    <xf numFmtId="14" fontId="25" fillId="0" borderId="0" xfId="0" applyNumberFormat="1" applyFont="1" applyAlignment="1">
      <alignment horizontal="left" vertical="center" wrapText="1"/>
    </xf>
    <xf numFmtId="167" fontId="26" fillId="0" borderId="0" xfId="0" applyNumberFormat="1" applyFont="1" applyAlignment="1">
      <alignment horizontal="left" vertical="center" wrapText="1"/>
    </xf>
    <xf numFmtId="14" fontId="27" fillId="0" borderId="0" xfId="0" applyNumberFormat="1" applyFont="1" applyAlignment="1">
      <alignment horizontal="left" vertical="center" wrapText="1"/>
    </xf>
    <xf numFmtId="0" fontId="5" fillId="0" borderId="0" xfId="5" applyFont="1" applyAlignment="1">
      <alignment horizontal="center" vertical="center" wrapText="1"/>
    </xf>
    <xf numFmtId="0" fontId="6" fillId="0" borderId="0" xfId="5" applyFont="1" applyAlignment="1">
      <alignment horizontal="center" vertical="center" wrapText="1"/>
    </xf>
    <xf numFmtId="165" fontId="5" fillId="0" borderId="0" xfId="5" applyNumberFormat="1" applyFont="1" applyAlignment="1">
      <alignment horizontal="center" vertical="center" wrapText="1"/>
    </xf>
    <xf numFmtId="0" fontId="22" fillId="0" borderId="0" xfId="5" applyFont="1" applyAlignment="1">
      <alignment horizontal="center" vertical="center" wrapText="1"/>
    </xf>
    <xf numFmtId="167" fontId="3" fillId="0" borderId="0" xfId="5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167" fontId="3" fillId="0" borderId="0" xfId="0" applyNumberFormat="1" applyFont="1" applyAlignment="1">
      <alignment horizontal="center" vertical="center" wrapText="1"/>
    </xf>
    <xf numFmtId="0" fontId="8" fillId="0" borderId="0" xfId="5" applyFont="1" applyAlignment="1">
      <alignment horizontal="center" vertical="center" wrapText="1"/>
    </xf>
    <xf numFmtId="165" fontId="8" fillId="0" borderId="0" xfId="5" applyNumberFormat="1" applyFont="1" applyAlignment="1">
      <alignment horizontal="center" vertical="center" wrapText="1"/>
    </xf>
    <xf numFmtId="168" fontId="9" fillId="0" borderId="0" xfId="0" applyNumberFormat="1" applyFont="1" applyAlignment="1">
      <alignment horizontal="left" vertical="center" wrapText="1"/>
    </xf>
  </cellXfs>
  <cellStyles count="7">
    <cellStyle name="Normal" xfId="0" builtinId="0"/>
    <cellStyle name="Normal 16" xfId="2" xr:uid="{00000000-0005-0000-0000-000031000000}"/>
    <cellStyle name="Style 1" xfId="3" xr:uid="{00000000-0005-0000-0000-000032000000}"/>
    <cellStyle name="Vírgula" xfId="1" builtinId="3"/>
    <cellStyle name="常规 2" xfId="4" xr:uid="{00000000-0005-0000-0000-000033000000}"/>
    <cellStyle name="常规_Sheet1" xfId="5" xr:uid="{00000000-0005-0000-0000-000034000000}"/>
    <cellStyle name="常规_Sheet1 2" xfId="6" xr:uid="{00000000-0005-0000-0000-000035000000}"/>
  </cellStyles>
  <dxfs count="0"/>
  <tableStyles count="0" defaultTableStyle="TableStyleMedium2" defaultPivotStyle="PivotStyleLight16"/>
  <colors>
    <mruColors>
      <color rgb="FFFF0000"/>
      <color rgb="FF00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257810</xdr:colOff>
      <xdr:row>12</xdr:row>
      <xdr:rowOff>118745</xdr:rowOff>
    </xdr:from>
    <xdr:to>
      <xdr:col>3</xdr:col>
      <xdr:colOff>1240155</xdr:colOff>
      <xdr:row>12</xdr:row>
      <xdr:rowOff>997585</xdr:rowOff>
    </xdr:to>
    <xdr:pic>
      <xdr:nvPicPr>
        <xdr:cNvPr id="2" name="ID_0930DA560C014D8AA84E707231F37A25" descr="SB13966-S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48560" y="4964589"/>
          <a:ext cx="982345" cy="878840"/>
        </a:xfrm>
        <a:prstGeom prst="rect">
          <a:avLst/>
        </a:prstGeom>
      </xdr:spPr>
    </xdr:pic>
    <xdr:clientData/>
  </xdr:twoCellAnchor>
  <xdr:twoCellAnchor editAs="oneCell">
    <xdr:from>
      <xdr:col>3</xdr:col>
      <xdr:colOff>20320</xdr:colOff>
      <xdr:row>10</xdr:row>
      <xdr:rowOff>216535</xdr:rowOff>
    </xdr:from>
    <xdr:to>
      <xdr:col>3</xdr:col>
      <xdr:colOff>1477645</xdr:colOff>
      <xdr:row>11</xdr:row>
      <xdr:rowOff>899795</xdr:rowOff>
    </xdr:to>
    <xdr:pic>
      <xdr:nvPicPr>
        <xdr:cNvPr id="4" name="ID_D74F703C90F54963ACF3118275E11340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11070" y="3205004"/>
          <a:ext cx="1457325" cy="1433354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383610</xdr:colOff>
      <xdr:row>14</xdr:row>
      <xdr:rowOff>214154</xdr:rowOff>
    </xdr:from>
    <xdr:to>
      <xdr:col>3</xdr:col>
      <xdr:colOff>1096645</xdr:colOff>
      <xdr:row>14</xdr:row>
      <xdr:rowOff>916781</xdr:rowOff>
    </xdr:to>
    <xdr:pic>
      <xdr:nvPicPr>
        <xdr:cNvPr id="6" name="ID_8B2DA7086B0C467499816CE38BC7783D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74360" y="6917373"/>
          <a:ext cx="713035" cy="702627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M27"/>
  <sheetViews>
    <sheetView tabSelected="1" zoomScale="80" zoomScaleNormal="80" workbookViewId="0">
      <selection activeCell="D32" sqref="D32"/>
    </sheetView>
  </sheetViews>
  <sheetFormatPr defaultColWidth="12.875" defaultRowHeight="15"/>
  <cols>
    <col min="1" max="1" width="6.125" style="5" customWidth="1"/>
    <col min="2" max="2" width="10.75" style="6" customWidth="1"/>
    <col min="3" max="3" width="11.875" style="5" customWidth="1"/>
    <col min="4" max="4" width="19.625" style="5" customWidth="1"/>
    <col min="5" max="5" width="15.875" style="7" customWidth="1"/>
    <col min="6" max="6" width="16.875" style="6" customWidth="1"/>
    <col min="7" max="7" width="14.375" style="1" customWidth="1"/>
    <col min="8" max="8" width="18.375" style="6" customWidth="1"/>
    <col min="9" max="16" width="4.125" style="6" customWidth="1"/>
    <col min="17" max="17" width="8" style="5" customWidth="1"/>
    <col min="18" max="18" width="9.875" style="8" customWidth="1"/>
    <col min="19" max="19" width="17.75" style="8" customWidth="1"/>
    <col min="20" max="21" width="14.75" style="9" customWidth="1"/>
    <col min="22" max="22" width="11.625" style="10" customWidth="1"/>
    <col min="23" max="23" width="11.625" style="11" customWidth="1"/>
    <col min="24" max="24" width="22.375" style="5" customWidth="1"/>
    <col min="25" max="172" width="12.875" style="12" customWidth="1"/>
    <col min="173" max="193" width="9" style="12" customWidth="1"/>
    <col min="194" max="194" width="6.125" style="12" customWidth="1"/>
    <col min="195" max="195" width="8.625" style="12" customWidth="1"/>
    <col min="196" max="16384" width="12.875" style="12"/>
  </cols>
  <sheetData>
    <row r="1" spans="1:195" s="1" customFormat="1" ht="18" customHeight="1">
      <c r="A1" s="134"/>
      <c r="B1" s="134"/>
      <c r="C1" s="134"/>
      <c r="D1" s="134"/>
      <c r="E1" s="134"/>
      <c r="F1" s="134"/>
      <c r="G1" s="135"/>
      <c r="H1" s="134"/>
      <c r="I1" s="134"/>
      <c r="J1" s="134"/>
      <c r="K1" s="134"/>
      <c r="L1" s="134"/>
      <c r="M1" s="134"/>
      <c r="N1" s="134"/>
      <c r="O1" s="134"/>
      <c r="P1" s="136"/>
      <c r="Q1" s="136"/>
      <c r="R1" s="137"/>
      <c r="S1" s="138"/>
      <c r="T1" s="137"/>
      <c r="U1" s="137"/>
      <c r="V1" s="134"/>
    </row>
    <row r="2" spans="1:195" s="1" customFormat="1" ht="15" customHeight="1">
      <c r="A2" s="139"/>
      <c r="B2" s="139"/>
      <c r="C2" s="139"/>
      <c r="D2" s="139"/>
      <c r="E2" s="139"/>
      <c r="F2" s="139"/>
      <c r="G2" s="140"/>
      <c r="H2" s="139"/>
      <c r="I2" s="139"/>
      <c r="J2" s="139"/>
      <c r="K2" s="139"/>
      <c r="L2" s="139"/>
      <c r="M2" s="139"/>
      <c r="N2" s="139"/>
      <c r="O2" s="139"/>
      <c r="P2" s="141"/>
      <c r="Q2" s="141"/>
      <c r="R2" s="142"/>
      <c r="S2" s="143"/>
      <c r="T2" s="142"/>
      <c r="U2" s="142"/>
      <c r="V2" s="139"/>
    </row>
    <row r="3" spans="1:195" s="1" customFormat="1" ht="13.5" customHeight="1">
      <c r="A3" s="139"/>
      <c r="B3" s="139"/>
      <c r="C3" s="139"/>
      <c r="D3" s="139"/>
      <c r="E3" s="139"/>
      <c r="F3" s="139"/>
      <c r="G3" s="140"/>
      <c r="H3" s="139"/>
      <c r="I3" s="139"/>
      <c r="J3" s="139"/>
      <c r="K3" s="139"/>
      <c r="L3" s="139"/>
      <c r="M3" s="139"/>
      <c r="N3" s="139"/>
      <c r="O3" s="139"/>
      <c r="P3" s="141"/>
      <c r="Q3" s="141"/>
      <c r="R3" s="142"/>
      <c r="S3" s="143"/>
      <c r="T3" s="142"/>
      <c r="U3" s="142"/>
      <c r="V3" s="139"/>
    </row>
    <row r="4" spans="1:195" s="1" customFormat="1" ht="20.25" customHeight="1">
      <c r="A4" s="144"/>
      <c r="B4" s="144"/>
      <c r="C4" s="144"/>
      <c r="D4" s="144"/>
      <c r="E4" s="144"/>
      <c r="F4" s="144"/>
      <c r="G4" s="135"/>
      <c r="H4" s="144"/>
      <c r="I4" s="144"/>
      <c r="J4" s="144"/>
      <c r="K4" s="144"/>
      <c r="L4" s="144"/>
      <c r="M4" s="144"/>
      <c r="N4" s="144"/>
      <c r="O4" s="144"/>
      <c r="P4" s="145"/>
      <c r="Q4" s="145"/>
      <c r="R4" s="137"/>
      <c r="S4" s="138"/>
      <c r="T4" s="137"/>
      <c r="U4" s="137"/>
      <c r="V4" s="144"/>
    </row>
    <row r="5" spans="1:195" s="1" customFormat="1" ht="21.75" customHeight="1">
      <c r="A5" s="121"/>
      <c r="B5" s="146"/>
      <c r="C5" s="121"/>
      <c r="D5" s="14"/>
      <c r="E5" s="14"/>
      <c r="G5" s="122"/>
      <c r="H5" s="122"/>
      <c r="I5" s="15"/>
      <c r="J5" s="15"/>
      <c r="K5" s="35"/>
      <c r="L5" s="35"/>
      <c r="M5" s="35"/>
      <c r="P5" s="36"/>
      <c r="Q5" s="36"/>
      <c r="R5" s="39"/>
      <c r="S5" s="38"/>
      <c r="T5" s="40"/>
      <c r="U5" s="40"/>
      <c r="V5" s="41"/>
    </row>
    <row r="6" spans="1:195" s="1" customFormat="1" ht="21.75" customHeight="1">
      <c r="A6" s="121"/>
      <c r="B6" s="121"/>
      <c r="C6" s="16"/>
      <c r="D6" s="14"/>
      <c r="E6" s="17"/>
      <c r="F6" s="13"/>
      <c r="G6" s="122"/>
      <c r="H6" s="122"/>
      <c r="I6" s="122"/>
      <c r="J6" s="122"/>
      <c r="K6" s="122"/>
      <c r="L6" s="122"/>
      <c r="M6" s="122"/>
      <c r="N6" s="122"/>
      <c r="O6" s="122"/>
      <c r="P6" s="123" t="s">
        <v>0</v>
      </c>
      <c r="Q6" s="124"/>
      <c r="R6" s="124"/>
      <c r="S6" s="42">
        <v>46162</v>
      </c>
      <c r="T6" s="43"/>
      <c r="U6" s="125"/>
      <c r="V6" s="126"/>
      <c r="W6" s="125"/>
      <c r="X6" s="127"/>
    </row>
    <row r="7" spans="1:195" s="2" customFormat="1" ht="30.95" customHeight="1">
      <c r="A7" s="128"/>
      <c r="B7" s="129"/>
      <c r="C7" s="129"/>
      <c r="D7" s="18"/>
      <c r="F7" s="130"/>
      <c r="G7" s="130"/>
      <c r="H7" s="130"/>
      <c r="I7" s="37"/>
      <c r="J7" s="37"/>
      <c r="K7" s="37"/>
      <c r="L7" s="37"/>
      <c r="M7" s="37"/>
      <c r="N7" s="37"/>
      <c r="O7" s="37"/>
      <c r="P7" s="123" t="s">
        <v>1</v>
      </c>
      <c r="Q7" s="124"/>
      <c r="R7" s="124"/>
      <c r="S7" s="42">
        <v>46203</v>
      </c>
      <c r="T7" s="44"/>
      <c r="U7" s="131"/>
      <c r="V7" s="132"/>
      <c r="W7" s="133"/>
      <c r="X7" s="131"/>
    </row>
    <row r="8" spans="1:195" s="1" customFormat="1" ht="21" customHeight="1">
      <c r="A8" s="91" t="s">
        <v>2</v>
      </c>
      <c r="B8" s="60" t="s">
        <v>3</v>
      </c>
      <c r="C8" s="60" t="s">
        <v>4</v>
      </c>
      <c r="D8" s="60" t="s">
        <v>5</v>
      </c>
      <c r="E8" s="67" t="s">
        <v>6</v>
      </c>
      <c r="F8" s="60" t="s">
        <v>7</v>
      </c>
      <c r="G8" s="60" t="s">
        <v>8</v>
      </c>
      <c r="H8" s="60" t="s">
        <v>9</v>
      </c>
      <c r="I8" s="60" t="s">
        <v>10</v>
      </c>
      <c r="J8" s="60"/>
      <c r="K8" s="60"/>
      <c r="L8" s="60"/>
      <c r="M8" s="60"/>
      <c r="N8" s="60"/>
      <c r="O8" s="60"/>
      <c r="P8" s="60"/>
      <c r="Q8" s="64" t="s">
        <v>11</v>
      </c>
      <c r="R8" s="62" t="s">
        <v>12</v>
      </c>
      <c r="S8" s="62" t="s">
        <v>13</v>
      </c>
      <c r="T8" s="60" t="s">
        <v>14</v>
      </c>
      <c r="U8" s="60" t="s">
        <v>15</v>
      </c>
      <c r="V8" s="60" t="s">
        <v>16</v>
      </c>
      <c r="W8" s="60" t="s">
        <v>17</v>
      </c>
      <c r="X8" s="58" t="s">
        <v>18</v>
      </c>
    </row>
    <row r="9" spans="1:195" s="1" customFormat="1" ht="21.95" customHeight="1">
      <c r="A9" s="92"/>
      <c r="B9" s="61"/>
      <c r="C9" s="61"/>
      <c r="D9" s="61"/>
      <c r="E9" s="68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5"/>
      <c r="R9" s="63"/>
      <c r="S9" s="63"/>
      <c r="T9" s="61"/>
      <c r="U9" s="61"/>
      <c r="V9" s="61"/>
      <c r="W9" s="61"/>
      <c r="X9" s="59"/>
    </row>
    <row r="10" spans="1:195" s="1" customFormat="1" ht="53.1" customHeight="1">
      <c r="A10" s="20" t="s">
        <v>19</v>
      </c>
      <c r="B10" s="21" t="s">
        <v>20</v>
      </c>
      <c r="C10" s="21" t="s">
        <v>21</v>
      </c>
      <c r="D10" s="21" t="s">
        <v>22</v>
      </c>
      <c r="E10" s="68"/>
      <c r="F10" s="21" t="s">
        <v>23</v>
      </c>
      <c r="G10" s="21" t="s">
        <v>24</v>
      </c>
      <c r="H10" s="21" t="s">
        <v>25</v>
      </c>
      <c r="I10" s="19">
        <v>3</v>
      </c>
      <c r="J10" s="19">
        <v>4</v>
      </c>
      <c r="K10" s="19">
        <v>5</v>
      </c>
      <c r="L10" s="19">
        <v>6</v>
      </c>
      <c r="M10" s="19">
        <v>7</v>
      </c>
      <c r="N10" s="19">
        <v>8</v>
      </c>
      <c r="O10" s="19">
        <v>9</v>
      </c>
      <c r="P10" s="19">
        <v>10</v>
      </c>
      <c r="Q10" s="45" t="s">
        <v>26</v>
      </c>
      <c r="R10" s="46" t="s">
        <v>27</v>
      </c>
      <c r="S10" s="46" t="s">
        <v>28</v>
      </c>
      <c r="T10" s="21" t="s">
        <v>29</v>
      </c>
      <c r="U10" s="21" t="s">
        <v>30</v>
      </c>
      <c r="V10" s="21" t="s">
        <v>31</v>
      </c>
      <c r="W10" s="21" t="s">
        <v>32</v>
      </c>
      <c r="X10" s="47" t="s">
        <v>33</v>
      </c>
    </row>
    <row r="11" spans="1:195" s="3" customFormat="1" ht="59.25" customHeight="1">
      <c r="A11" s="93">
        <v>1</v>
      </c>
      <c r="B11" s="94" t="s">
        <v>34</v>
      </c>
      <c r="C11" s="96" t="s">
        <v>35</v>
      </c>
      <c r="D11" s="66"/>
      <c r="E11" s="26"/>
      <c r="F11" s="27" t="s">
        <v>36</v>
      </c>
      <c r="G11" s="28" t="s">
        <v>37</v>
      </c>
      <c r="H11" s="29" t="s">
        <v>38</v>
      </c>
      <c r="I11" s="120" t="s">
        <v>39</v>
      </c>
      <c r="J11" s="120"/>
      <c r="K11" s="120"/>
      <c r="L11" s="120"/>
      <c r="M11" s="120"/>
      <c r="N11" s="120"/>
      <c r="O11" s="120"/>
      <c r="P11" s="120"/>
      <c r="Q11" s="48">
        <v>15</v>
      </c>
      <c r="R11" s="49">
        <v>11.71</v>
      </c>
      <c r="S11" s="49">
        <f t="shared" ref="S11:S15" si="0">R11*Q11</f>
        <v>175.65</v>
      </c>
      <c r="T11" s="50">
        <v>2.84</v>
      </c>
      <c r="U11" s="50">
        <v>2.5</v>
      </c>
      <c r="V11" s="50">
        <v>1.2</v>
      </c>
      <c r="W11" s="50">
        <f t="shared" ref="W11:W15" si="1">V11+U11</f>
        <v>3.7</v>
      </c>
      <c r="X11" s="51">
        <f t="shared" ref="X11:X15" si="2">W11*S11+Q11*T11</f>
        <v>692.50500000000011</v>
      </c>
      <c r="Y11" s="57"/>
    </row>
    <row r="12" spans="1:195" s="4" customFormat="1" ht="87" customHeight="1">
      <c r="A12" s="93"/>
      <c r="B12" s="95"/>
      <c r="C12" s="96"/>
      <c r="D12" s="66"/>
      <c r="E12" s="30"/>
      <c r="F12" s="27" t="s">
        <v>36</v>
      </c>
      <c r="G12" s="28" t="s">
        <v>37</v>
      </c>
      <c r="H12" s="30" t="s">
        <v>40</v>
      </c>
      <c r="I12" s="120" t="s">
        <v>39</v>
      </c>
      <c r="J12" s="120"/>
      <c r="K12" s="120"/>
      <c r="L12" s="120"/>
      <c r="M12" s="120"/>
      <c r="N12" s="120"/>
      <c r="O12" s="120"/>
      <c r="P12" s="120"/>
      <c r="Q12" s="52">
        <v>15</v>
      </c>
      <c r="R12" s="52">
        <v>11.71</v>
      </c>
      <c r="S12" s="49">
        <f t="shared" si="0"/>
        <v>175.65</v>
      </c>
      <c r="T12" s="50">
        <v>2.84</v>
      </c>
      <c r="U12" s="50">
        <v>2.5</v>
      </c>
      <c r="V12" s="50">
        <v>1.2</v>
      </c>
      <c r="W12" s="50">
        <f t="shared" si="1"/>
        <v>3.7</v>
      </c>
      <c r="X12" s="51">
        <f t="shared" si="2"/>
        <v>692.50500000000011</v>
      </c>
      <c r="Y12" s="57"/>
      <c r="Z12" s="3"/>
    </row>
    <row r="13" spans="1:195" s="4" customFormat="1" ht="87" customHeight="1">
      <c r="A13" s="93">
        <v>2</v>
      </c>
      <c r="B13" s="94" t="s">
        <v>34</v>
      </c>
      <c r="C13" s="95" t="s">
        <v>41</v>
      </c>
      <c r="D13" s="66"/>
      <c r="E13" s="30"/>
      <c r="F13" s="27" t="s">
        <v>36</v>
      </c>
      <c r="G13" s="28" t="s">
        <v>37</v>
      </c>
      <c r="H13" s="30" t="s">
        <v>42</v>
      </c>
      <c r="I13" s="120" t="s">
        <v>39</v>
      </c>
      <c r="J13" s="120"/>
      <c r="K13" s="120"/>
      <c r="L13" s="120"/>
      <c r="M13" s="120"/>
      <c r="N13" s="120"/>
      <c r="O13" s="120"/>
      <c r="P13" s="120"/>
      <c r="Q13" s="52">
        <v>15</v>
      </c>
      <c r="R13" s="52">
        <v>15.81</v>
      </c>
      <c r="S13" s="49">
        <f t="shared" si="0"/>
        <v>237.15</v>
      </c>
      <c r="T13" s="50">
        <v>3.46</v>
      </c>
      <c r="U13" s="50">
        <v>2.5</v>
      </c>
      <c r="V13" s="53">
        <v>1.03</v>
      </c>
      <c r="W13" s="50">
        <f t="shared" si="1"/>
        <v>3.5300000000000002</v>
      </c>
      <c r="X13" s="51">
        <f t="shared" si="2"/>
        <v>889.03950000000009</v>
      </c>
      <c r="Y13" s="57"/>
      <c r="Z13" s="3"/>
    </row>
    <row r="14" spans="1:195" s="3" customFormat="1" ht="59.25" customHeight="1">
      <c r="A14" s="93"/>
      <c r="B14" s="95"/>
      <c r="C14" s="95"/>
      <c r="D14" s="66"/>
      <c r="E14" s="26"/>
      <c r="F14" s="27" t="s">
        <v>36</v>
      </c>
      <c r="G14" s="28" t="s">
        <v>37</v>
      </c>
      <c r="H14" s="29" t="s">
        <v>43</v>
      </c>
      <c r="I14" s="120" t="s">
        <v>39</v>
      </c>
      <c r="J14" s="120"/>
      <c r="K14" s="120"/>
      <c r="L14" s="120"/>
      <c r="M14" s="120"/>
      <c r="N14" s="120"/>
      <c r="O14" s="120"/>
      <c r="P14" s="120"/>
      <c r="Q14" s="52">
        <v>15</v>
      </c>
      <c r="R14" s="52">
        <v>15.81</v>
      </c>
      <c r="S14" s="49">
        <f t="shared" si="0"/>
        <v>237.15</v>
      </c>
      <c r="T14" s="50">
        <v>3.46</v>
      </c>
      <c r="U14" s="50">
        <v>2.5</v>
      </c>
      <c r="V14" s="53">
        <v>1.03</v>
      </c>
      <c r="W14" s="50">
        <f t="shared" si="1"/>
        <v>3.5300000000000002</v>
      </c>
      <c r="X14" s="51">
        <f t="shared" si="2"/>
        <v>889.03950000000009</v>
      </c>
      <c r="Y14" s="57"/>
    </row>
    <row r="15" spans="1:195" s="3" customFormat="1" ht="88.15" customHeight="1">
      <c r="A15" s="22">
        <v>3</v>
      </c>
      <c r="B15" s="23" t="s">
        <v>34</v>
      </c>
      <c r="C15" s="24" t="s">
        <v>44</v>
      </c>
      <c r="D15" s="25"/>
      <c r="E15" s="31"/>
      <c r="F15" s="27" t="s">
        <v>36</v>
      </c>
      <c r="G15" s="28" t="s">
        <v>37</v>
      </c>
      <c r="H15" s="30" t="s">
        <v>42</v>
      </c>
      <c r="I15" s="120" t="s">
        <v>39</v>
      </c>
      <c r="J15" s="120"/>
      <c r="K15" s="120"/>
      <c r="L15" s="120"/>
      <c r="M15" s="120"/>
      <c r="N15" s="120"/>
      <c r="O15" s="120"/>
      <c r="P15" s="120"/>
      <c r="Q15" s="48">
        <v>10</v>
      </c>
      <c r="R15" s="49">
        <v>11.65</v>
      </c>
      <c r="S15" s="49">
        <f t="shared" si="0"/>
        <v>116.5</v>
      </c>
      <c r="T15" s="50">
        <v>2.86</v>
      </c>
      <c r="U15" s="50">
        <v>2.5</v>
      </c>
      <c r="V15" s="50">
        <v>1.24</v>
      </c>
      <c r="W15" s="50">
        <f t="shared" si="1"/>
        <v>3.74</v>
      </c>
      <c r="X15" s="51">
        <f t="shared" si="2"/>
        <v>464.31000000000006</v>
      </c>
      <c r="Y15" s="57"/>
    </row>
    <row r="16" spans="1:195" s="3" customFormat="1" ht="16.149999999999999" customHeight="1" thickBot="1">
      <c r="A16" s="111" t="s">
        <v>45</v>
      </c>
      <c r="B16" s="112"/>
      <c r="C16" s="112"/>
      <c r="D16" s="32"/>
      <c r="E16" s="33"/>
      <c r="F16" s="33"/>
      <c r="G16" s="34"/>
      <c r="H16" s="32"/>
      <c r="I16" s="112"/>
      <c r="J16" s="112"/>
      <c r="K16" s="112"/>
      <c r="L16" s="112"/>
      <c r="M16" s="112"/>
      <c r="N16" s="112"/>
      <c r="O16" s="112"/>
      <c r="P16" s="112"/>
      <c r="Q16" s="32">
        <f>SUM(Q11:Q15)</f>
        <v>70</v>
      </c>
      <c r="R16" s="54"/>
      <c r="S16" s="54">
        <f>SUM(S11:S15)</f>
        <v>942.1</v>
      </c>
      <c r="T16" s="54"/>
      <c r="U16" s="54"/>
      <c r="V16" s="55"/>
      <c r="W16" s="55"/>
      <c r="X16" s="56">
        <f>SUM(X11:X15)</f>
        <v>3627.3989999999999</v>
      </c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</row>
    <row r="17" spans="1:195" s="3" customFormat="1" ht="18.75">
      <c r="A17" s="113"/>
      <c r="B17" s="114"/>
      <c r="C17" s="114"/>
      <c r="D17" s="114"/>
      <c r="E17" s="114"/>
      <c r="F17" s="115"/>
      <c r="G17" s="81"/>
      <c r="H17" s="114"/>
      <c r="I17" s="114"/>
      <c r="J17" s="114"/>
      <c r="K17" s="116"/>
      <c r="L17" s="116"/>
      <c r="M17" s="116"/>
      <c r="N17" s="116"/>
      <c r="O17" s="116"/>
      <c r="P17" s="114"/>
      <c r="Q17" s="117"/>
      <c r="R17" s="114"/>
      <c r="S17" s="114"/>
      <c r="T17" s="114"/>
      <c r="U17" s="114"/>
      <c r="V17" s="118"/>
      <c r="W17" s="118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</row>
    <row r="18" spans="1:195" s="3" customFormat="1" ht="18">
      <c r="A18" s="119"/>
      <c r="B18" s="114"/>
      <c r="C18" s="114"/>
      <c r="D18" s="114"/>
      <c r="E18" s="114"/>
      <c r="F18" s="115"/>
      <c r="G18" s="81"/>
      <c r="H18" s="114"/>
      <c r="I18" s="114"/>
      <c r="J18" s="114"/>
      <c r="K18" s="116"/>
      <c r="L18" s="116"/>
      <c r="M18" s="116"/>
      <c r="N18" s="116"/>
      <c r="O18" s="116"/>
      <c r="P18" s="114"/>
      <c r="Q18" s="117"/>
      <c r="R18" s="114"/>
      <c r="S18" s="114"/>
      <c r="T18" s="114"/>
      <c r="U18" s="114"/>
      <c r="V18" s="118"/>
      <c r="W18" s="118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</row>
    <row r="19" spans="1:195" s="3" customFormat="1" ht="15.75">
      <c r="A19" s="97"/>
      <c r="B19" s="97"/>
      <c r="C19" s="97"/>
      <c r="D19" s="97"/>
      <c r="E19" s="98"/>
      <c r="F19" s="99"/>
      <c r="G19" s="100"/>
      <c r="H19" s="97"/>
      <c r="I19" s="97"/>
      <c r="J19" s="97"/>
      <c r="K19" s="101"/>
      <c r="L19" s="101"/>
      <c r="M19" s="101"/>
      <c r="N19" s="101"/>
      <c r="O19" s="101"/>
      <c r="P19" s="97"/>
      <c r="Q19" s="102"/>
      <c r="R19" s="97"/>
      <c r="S19" s="97"/>
      <c r="T19" s="97"/>
      <c r="U19" s="97"/>
      <c r="V19" s="103"/>
      <c r="W19" s="103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</row>
    <row r="20" spans="1:195" s="3" customFormat="1" ht="15.75">
      <c r="A20" s="97"/>
      <c r="B20" s="97"/>
      <c r="C20" s="97"/>
      <c r="D20" s="97"/>
      <c r="E20" s="98"/>
      <c r="F20" s="99"/>
      <c r="G20" s="100"/>
      <c r="H20" s="97"/>
      <c r="I20" s="97"/>
      <c r="J20" s="97"/>
      <c r="K20" s="101"/>
      <c r="L20" s="101"/>
      <c r="M20" s="101"/>
      <c r="N20" s="101"/>
      <c r="O20" s="101"/>
      <c r="P20" s="97"/>
      <c r="Q20" s="102"/>
      <c r="R20" s="97"/>
      <c r="S20" s="97"/>
      <c r="T20" s="97"/>
      <c r="U20" s="97"/>
      <c r="V20" s="103"/>
      <c r="W20" s="103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</row>
    <row r="21" spans="1:195" s="3" customFormat="1" ht="15.75">
      <c r="A21" s="97"/>
      <c r="B21" s="97"/>
      <c r="C21" s="97"/>
      <c r="D21" s="97"/>
      <c r="E21" s="98"/>
      <c r="F21" s="99"/>
      <c r="G21" s="100"/>
      <c r="H21" s="97"/>
      <c r="I21" s="97"/>
      <c r="J21" s="97"/>
      <c r="K21" s="101"/>
      <c r="L21" s="101"/>
      <c r="M21" s="101"/>
      <c r="N21" s="101"/>
      <c r="O21" s="101"/>
      <c r="P21" s="97"/>
      <c r="Q21" s="102"/>
      <c r="R21" s="97"/>
      <c r="S21" s="97"/>
      <c r="T21" s="97"/>
      <c r="U21" s="97"/>
      <c r="V21" s="103"/>
      <c r="W21" s="103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</row>
    <row r="22" spans="1:195" s="3" customFormat="1" ht="15.75">
      <c r="A22" s="104"/>
      <c r="B22" s="104"/>
      <c r="C22" s="104"/>
      <c r="D22" s="104"/>
      <c r="E22" s="105"/>
      <c r="F22" s="106"/>
      <c r="G22" s="107"/>
      <c r="H22" s="104"/>
      <c r="I22" s="104"/>
      <c r="J22" s="104"/>
      <c r="K22" s="108"/>
      <c r="L22" s="108"/>
      <c r="M22" s="108"/>
      <c r="N22" s="108"/>
      <c r="O22" s="108"/>
      <c r="P22" s="104"/>
      <c r="Q22" s="109"/>
      <c r="R22" s="104"/>
      <c r="S22" s="104"/>
      <c r="T22" s="104"/>
      <c r="U22" s="104"/>
      <c r="V22" s="110"/>
      <c r="W22" s="110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</row>
    <row r="23" spans="1:195" s="3" customFormat="1" ht="15.75">
      <c r="A23" s="69"/>
      <c r="B23" s="70"/>
      <c r="C23" s="70"/>
      <c r="D23" s="70"/>
      <c r="E23" s="71"/>
      <c r="F23" s="72"/>
      <c r="G23" s="73"/>
      <c r="H23" s="70"/>
      <c r="I23" s="70"/>
      <c r="J23" s="70"/>
      <c r="K23" s="74"/>
      <c r="L23" s="74"/>
      <c r="M23" s="74"/>
      <c r="N23" s="74"/>
      <c r="O23" s="74"/>
      <c r="P23" s="70"/>
      <c r="Q23" s="75"/>
      <c r="R23" s="70"/>
      <c r="S23" s="70"/>
      <c r="T23" s="70"/>
      <c r="U23" s="70"/>
      <c r="V23" s="76"/>
      <c r="W23" s="76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</row>
    <row r="24" spans="1:195" s="3" customFormat="1" ht="15.75">
      <c r="A24" s="69"/>
      <c r="B24" s="70"/>
      <c r="C24" s="70"/>
      <c r="D24" s="70"/>
      <c r="E24" s="71"/>
      <c r="F24" s="72"/>
      <c r="G24" s="73"/>
      <c r="H24" s="70"/>
      <c r="I24" s="70"/>
      <c r="J24" s="70"/>
      <c r="K24" s="74"/>
      <c r="L24" s="74"/>
      <c r="M24" s="74"/>
      <c r="N24" s="74"/>
      <c r="O24" s="74"/>
      <c r="P24" s="70"/>
      <c r="Q24" s="75"/>
      <c r="R24" s="70"/>
      <c r="S24" s="70"/>
      <c r="T24" s="70"/>
      <c r="U24" s="70"/>
      <c r="V24" s="76"/>
      <c r="W24" s="76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</row>
    <row r="25" spans="1:195" s="3" customFormat="1" ht="15.75">
      <c r="A25" s="69"/>
      <c r="B25" s="70"/>
      <c r="C25" s="70"/>
      <c r="D25" s="70"/>
      <c r="E25" s="71"/>
      <c r="F25" s="72"/>
      <c r="G25" s="73"/>
      <c r="H25" s="70"/>
      <c r="I25" s="70"/>
      <c r="J25" s="70"/>
      <c r="K25" s="74"/>
      <c r="L25" s="74"/>
      <c r="M25" s="74"/>
      <c r="N25" s="74"/>
      <c r="O25" s="74"/>
      <c r="P25" s="70"/>
      <c r="Q25" s="75"/>
      <c r="R25" s="70"/>
      <c r="S25" s="70"/>
      <c r="T25" s="70"/>
      <c r="U25" s="70"/>
      <c r="V25" s="76"/>
      <c r="W25" s="76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</row>
    <row r="26" spans="1:195" s="3" customFormat="1" ht="15.75">
      <c r="A26" s="77"/>
      <c r="B26" s="78"/>
      <c r="C26" s="78"/>
      <c r="D26" s="78"/>
      <c r="E26" s="79"/>
      <c r="F26" s="80"/>
      <c r="G26" s="81"/>
      <c r="H26" s="78"/>
      <c r="I26" s="78"/>
      <c r="J26" s="78"/>
      <c r="K26" s="82"/>
      <c r="L26" s="82"/>
      <c r="M26" s="82"/>
      <c r="N26" s="82"/>
      <c r="O26" s="82"/>
      <c r="P26" s="78"/>
      <c r="Q26" s="83"/>
      <c r="R26" s="78"/>
      <c r="S26" s="78"/>
      <c r="T26" s="78"/>
      <c r="U26" s="78"/>
      <c r="V26" s="84"/>
      <c r="W26" s="84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</row>
    <row r="27" spans="1:195" s="3" customFormat="1" ht="15.75">
      <c r="A27" s="85"/>
      <c r="B27" s="85"/>
      <c r="C27" s="85"/>
      <c r="D27" s="85"/>
      <c r="E27" s="86"/>
      <c r="F27" s="87"/>
      <c r="G27" s="86"/>
      <c r="H27" s="85"/>
      <c r="I27" s="85"/>
      <c r="J27" s="85"/>
      <c r="K27" s="88"/>
      <c r="L27" s="88"/>
      <c r="M27" s="88"/>
      <c r="N27" s="88"/>
      <c r="O27" s="88"/>
      <c r="P27" s="85"/>
      <c r="Q27" s="89"/>
      <c r="R27" s="85"/>
      <c r="S27" s="85"/>
      <c r="T27" s="85"/>
      <c r="U27" s="85"/>
      <c r="V27" s="90"/>
      <c r="W27" s="90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</row>
  </sheetData>
  <mergeCells count="57">
    <mergeCell ref="A1:V1"/>
    <mergeCell ref="A2:V2"/>
    <mergeCell ref="A3:V3"/>
    <mergeCell ref="A4:V4"/>
    <mergeCell ref="A5:C5"/>
    <mergeCell ref="G5:H5"/>
    <mergeCell ref="A6:B6"/>
    <mergeCell ref="G6:O6"/>
    <mergeCell ref="P6:R6"/>
    <mergeCell ref="U6:X6"/>
    <mergeCell ref="A7:C7"/>
    <mergeCell ref="F7:H7"/>
    <mergeCell ref="P7:R7"/>
    <mergeCell ref="U7:X7"/>
    <mergeCell ref="A25:W25"/>
    <mergeCell ref="A26:W26"/>
    <mergeCell ref="A27:W27"/>
    <mergeCell ref="A8:A9"/>
    <mergeCell ref="A11:A12"/>
    <mergeCell ref="A13:A14"/>
    <mergeCell ref="B8:B9"/>
    <mergeCell ref="B11:B12"/>
    <mergeCell ref="B13:B14"/>
    <mergeCell ref="C8:C9"/>
    <mergeCell ref="C11:C12"/>
    <mergeCell ref="C13:C14"/>
    <mergeCell ref="A19:W19"/>
    <mergeCell ref="A20:W20"/>
    <mergeCell ref="A21:W21"/>
    <mergeCell ref="A22:W22"/>
    <mergeCell ref="D8:D9"/>
    <mergeCell ref="D11:D12"/>
    <mergeCell ref="D13:D14"/>
    <mergeCell ref="E8:E10"/>
    <mergeCell ref="A24:W24"/>
    <mergeCell ref="A23:W23"/>
    <mergeCell ref="A16:C16"/>
    <mergeCell ref="I16:P16"/>
    <mergeCell ref="A17:W17"/>
    <mergeCell ref="A18:W18"/>
    <mergeCell ref="I11:P11"/>
    <mergeCell ref="I12:P12"/>
    <mergeCell ref="I13:P13"/>
    <mergeCell ref="I14:P14"/>
    <mergeCell ref="I15:P15"/>
    <mergeCell ref="F8:F9"/>
    <mergeCell ref="G8:G9"/>
    <mergeCell ref="H8:H9"/>
    <mergeCell ref="Q8:Q9"/>
    <mergeCell ref="R8:R9"/>
    <mergeCell ref="X8:X9"/>
    <mergeCell ref="I8:P9"/>
    <mergeCell ref="S8:S9"/>
    <mergeCell ref="T8:T9"/>
    <mergeCell ref="U8:U9"/>
    <mergeCell ref="V8:V9"/>
    <mergeCell ref="W8:W9"/>
  </mergeCells>
  <pageMargins left="0" right="0" top="0" bottom="0" header="0" footer="0"/>
  <pageSetup paperSize="9" scale="54" orientation="landscape" verticalDpi="300"/>
  <headerFooter alignWithMargins="0">
    <oddFooter>&amp;C第 &amp;P 页，共 &amp;N 页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D896C61A3BD54DA4C33647D94B7559" ma:contentTypeVersion="14" ma:contentTypeDescription="Crie um novo documento." ma:contentTypeScope="" ma:versionID="d2dea4b64a1dbce682e31084b1ed15f6">
  <xsd:schema xmlns:xsd="http://www.w3.org/2001/XMLSchema" xmlns:xs="http://www.w3.org/2001/XMLSchema" xmlns:p="http://schemas.microsoft.com/office/2006/metadata/properties" xmlns:ns2="d4f78d72-b29f-4f77-b3b2-b076c382d585" xmlns:ns3="386cc0c8-0b94-4872-b236-62e63159dc7b" targetNamespace="http://schemas.microsoft.com/office/2006/metadata/properties" ma:root="true" ma:fieldsID="5a0e150cf4793b8b83bb1230d3e2a1a7" ns2:_="" ns3:_="">
    <xsd:import namespace="d4f78d72-b29f-4f77-b3b2-b076c382d585"/>
    <xsd:import namespace="386cc0c8-0b94-4872-b236-62e63159dc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f78d72-b29f-4f77-b3b2-b076c382d5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8bc76d95-89ec-4c1e-8ffe-b8d471c6d1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6cc0c8-0b94-4872-b236-62e63159dc7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fd121b6-7be0-4162-9ebe-cbbdc4b3b72f}" ma:internalName="TaxCatchAll" ma:showField="CatchAllData" ma:web="386cc0c8-0b94-4872-b236-62e63159dc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6cc0c8-0b94-4872-b236-62e63159dc7b" xsi:nil="true"/>
    <lcf76f155ced4ddcb4097134ff3c332f xmlns="d4f78d72-b29f-4f77-b3b2-b076c382d585">
      <Terms xmlns="http://schemas.microsoft.com/office/infopath/2007/PartnerControls"/>
    </lcf76f155ced4ddcb4097134ff3c332f>
    <SharedWithUsers xmlns="386cc0c8-0b94-4872-b236-62e63159dc7b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A43E84-CD47-459E-ADC7-4480B57DD285}"/>
</file>

<file path=customXml/itemProps2.xml><?xml version="1.0" encoding="utf-8"?>
<ds:datastoreItem xmlns:ds="http://schemas.openxmlformats.org/officeDocument/2006/customXml" ds:itemID="{EBF16CA7-A276-4F22-BE7B-B7565440395A}"/>
</file>

<file path=customXml/itemProps3.xml><?xml version="1.0" encoding="utf-8"?>
<ds:datastoreItem xmlns:ds="http://schemas.openxmlformats.org/officeDocument/2006/customXml" ds:itemID="{EF5C8572-25C2-4526-A2A0-7C4E36113E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rgalotti</dc:creator>
  <cp:keywords/>
  <dc:description/>
  <cp:lastModifiedBy>Luis Fernando Pires dos Santos | Operação</cp:lastModifiedBy>
  <cp:revision/>
  <dcterms:created xsi:type="dcterms:W3CDTF">2018-11-30T09:18:00Z</dcterms:created>
  <dcterms:modified xsi:type="dcterms:W3CDTF">2026-05-26T14:40:51Z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6ABF747CA69A497CA787D3DDA8664A5A_13</vt:lpwstr>
  </property>
  <property fmtid="{D5CDD505-2E9C-101B-9397-08002B2CF9AE}" pid="4" name="CalculationRule">
    <vt:i4>0</vt:i4>
  </property>
  <property fmtid="{D5CDD505-2E9C-101B-9397-08002B2CF9AE}" pid="5" name="ContentTypeId">
    <vt:lpwstr>0x01010097D896C61A3BD54DA4C33647D94B7559</vt:lpwstr>
  </property>
  <property fmtid="{D5CDD505-2E9C-101B-9397-08002B2CF9AE}" pid="6" name="Order">
    <vt:r8>7135500</vt:r8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