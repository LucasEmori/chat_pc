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0" documentId="8_{38FEDE15-DCBB-44B1-B5FD-1468E7C919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(3)'!$A$10:$GK$31</definedName>
    <definedName name="_xlnm.Print_Area" localSheetId="0">'S299 (3)'!$A$1:$X$31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3" l="1"/>
  <c r="X18" i="3"/>
  <c r="S18" i="3"/>
  <c r="Q18" i="3"/>
  <c r="X17" i="3"/>
  <c r="X16" i="3"/>
  <c r="W16" i="3"/>
  <c r="S16" i="3"/>
  <c r="X15" i="3"/>
  <c r="W15" i="3"/>
  <c r="S15" i="3"/>
  <c r="X14" i="3"/>
  <c r="W14" i="3"/>
  <c r="S14" i="3"/>
  <c r="X13" i="3"/>
  <c r="W13" i="3"/>
  <c r="S13" i="3"/>
  <c r="X12" i="3"/>
  <c r="W12" i="3"/>
  <c r="S12" i="3"/>
  <c r="X11" i="3"/>
  <c r="W11" i="3"/>
  <c r="S11" i="3"/>
</calcChain>
</file>

<file path=xl/sharedStrings.xml><?xml version="1.0" encoding="utf-8"?>
<sst xmlns="http://schemas.openxmlformats.org/spreadsheetml/2006/main" count="69" uniqueCount="50">
  <si>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</si>
  <si>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</si>
  <si>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</si>
  <si>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</si>
  <si>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</si>
  <si>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</si>
  <si>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</si>
  <si>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</si>
  <si>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charset val="134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</si>
  <si>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</si>
  <si>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</si>
  <si>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</si>
  <si>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mossanite stone price by pcs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</si>
  <si>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</si>
  <si>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</si>
  <si>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</si>
  <si>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</si>
  <si>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</si>
  <si>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</si>
  <si>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</si>
  <si>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</si>
  <si>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</si>
  <si>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</si>
  <si>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</si>
  <si>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</si>
  <si>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charset val="134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</si>
  <si>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charset val="134"/>
      </rPr>
      <t>g</t>
    </r>
    <r>
      <rPr>
        <b/>
        <sz val="12"/>
        <rFont val="宋体"/>
        <charset val="134"/>
      </rPr>
      <t>）</t>
    </r>
  </si>
  <si>
    <t>莫桑石价/件</t>
  </si>
  <si>
    <t>银价单价按克</t>
  </si>
  <si>
    <t>工费单价按克</t>
  </si>
  <si>
    <t>单价按克</t>
  </si>
  <si>
    <t>总金额</t>
  </si>
  <si>
    <t>手链</t>
  </si>
  <si>
    <t>SB08094-L</t>
  </si>
  <si>
    <t>moissanite</t>
  </si>
  <si>
    <t>白莫桑石</t>
  </si>
  <si>
    <r>
      <rPr>
        <sz val="12"/>
        <rFont val="Arial"/>
        <charset val="134"/>
      </rPr>
      <t xml:space="preserve">RODHIUM PLATE </t>
    </r>
    <r>
      <rPr>
        <sz val="12"/>
        <rFont val="宋体"/>
        <charset val="134"/>
      </rPr>
      <t>镀白</t>
    </r>
  </si>
  <si>
    <r>
      <rPr>
        <sz val="12"/>
        <rFont val="Arial"/>
        <charset val="134"/>
      </rPr>
      <t>15,5CM+1CM+1CM,</t>
    </r>
    <r>
      <rPr>
        <sz val="12"/>
        <rFont val="宋体"/>
        <charset val="134"/>
      </rPr>
      <t>延长链同原链条</t>
    </r>
    <r>
      <rPr>
        <sz val="12"/>
        <rFont val="Arial"/>
        <charset val="134"/>
      </rPr>
      <t>,</t>
    </r>
    <r>
      <rPr>
        <sz val="12"/>
        <rFont val="宋体"/>
        <charset val="134"/>
      </rPr>
      <t>水滴扣</t>
    </r>
  </si>
  <si>
    <t>SB13341-S</t>
  </si>
  <si>
    <r>
      <rPr>
        <sz val="12"/>
        <rFont val="Arial"/>
        <charset val="134"/>
      </rPr>
      <t>15,5CM+1CM+1CM,</t>
    </r>
    <r>
      <rPr>
        <sz val="12"/>
        <rFont val="宋体"/>
        <charset val="134"/>
      </rPr>
      <t>延长链同原链条</t>
    </r>
    <r>
      <rPr>
        <sz val="12"/>
        <rFont val="Arial"/>
        <charset val="134"/>
      </rPr>
      <t>,</t>
    </r>
    <r>
      <rPr>
        <sz val="12"/>
        <rFont val="宋体"/>
        <charset val="134"/>
      </rPr>
      <t>水滴扣，不要尾缀</t>
    </r>
  </si>
  <si>
    <t>SB13852-S</t>
  </si>
  <si>
    <t>手镯</t>
  </si>
  <si>
    <t>SA06714</t>
  </si>
  <si>
    <t>50*60MM</t>
  </si>
  <si>
    <r>
      <rPr>
        <sz val="12"/>
        <rFont val="Arial"/>
        <charset val="134"/>
      </rPr>
      <t>S208  2025-03#  GP+</t>
    </r>
    <r>
      <rPr>
        <sz val="12"/>
        <rFont val="宋体"/>
        <charset val="134"/>
      </rPr>
      <t>泳漆色板</t>
    </r>
  </si>
  <si>
    <t>SB13966-S</t>
  </si>
  <si>
    <r>
      <rPr>
        <sz val="12"/>
        <color theme="1"/>
        <rFont val="Arial"/>
        <charset val="134"/>
      </rPr>
      <t xml:space="preserve">RODHIUM PLATE </t>
    </r>
    <r>
      <rPr>
        <sz val="12"/>
        <color theme="1"/>
        <rFont val="宋体"/>
        <charset val="134"/>
      </rPr>
      <t>镀白</t>
    </r>
  </si>
  <si>
    <t>certificate</t>
  </si>
  <si>
    <t>total</t>
  </si>
  <si>
    <t>after 2%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</si>
</sst>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3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2"/>
      <name val="Arial"/>
      <charset val="134"/>
    </font>
    <font>
      <b/>
      <sz val="11"/>
      <name val="Times New Roman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rgb="FF000000"/>
      <name val="Arial"/>
      <charset val="134"/>
    </font>
    <font>
      <b/>
      <sz val="12"/>
      <color indexed="12"/>
      <name val="Arial"/>
      <charset val="134"/>
    </font>
    <font>
      <sz val="12"/>
      <color theme="1"/>
      <name val="Arial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8"/>
      <color rgb="FFFF0000"/>
      <name val="宋体"/>
      <charset val="134"/>
    </font>
    <font>
      <b/>
      <sz val="18"/>
      <color rgb="FFFF0000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b/>
      <sz val="18"/>
      <name val="宋体"/>
      <charset val="134"/>
    </font>
    <font>
      <b/>
      <sz val="10"/>
      <name val="Arial"/>
      <charset val="134"/>
    </font>
    <font>
      <sz val="18"/>
      <name val="Arial"/>
      <charset val="134"/>
    </font>
    <font>
      <sz val="18"/>
      <color rgb="FFFF0000"/>
      <name val="Arial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top"/>
    </xf>
    <xf numFmtId="164" fontId="32" fillId="0" borderId="0" applyFont="0" applyFill="0" applyBorder="0" applyAlignment="0" applyProtection="0"/>
    <xf numFmtId="0" fontId="32" fillId="0" borderId="0">
      <alignment vertical="top"/>
    </xf>
    <xf numFmtId="0" fontId="30" fillId="0" borderId="0">
      <alignment vertical="top"/>
    </xf>
    <xf numFmtId="0" fontId="32" fillId="0" borderId="0">
      <alignment vertical="center"/>
    </xf>
    <xf numFmtId="0" fontId="31" fillId="0" borderId="0"/>
    <xf numFmtId="0" fontId="30" fillId="0" borderId="0">
      <alignment vertical="top"/>
    </xf>
  </cellStyleXfs>
  <cellXfs count="142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>
      <alignment vertical="top"/>
    </xf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9" fontId="1" fillId="0" borderId="4" xfId="5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3" borderId="4" xfId="6" applyFont="1" applyFill="1" applyBorder="1" applyAlignment="1">
      <alignment horizontal="center" vertical="center" wrapText="1"/>
    </xf>
    <xf numFmtId="169" fontId="16" fillId="0" borderId="4" xfId="5" applyNumberFormat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 shrinkToFit="1" readingOrder="1"/>
    </xf>
    <xf numFmtId="0" fontId="18" fillId="0" borderId="4" xfId="5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69" fontId="19" fillId="0" borderId="4" xfId="5" applyNumberFormat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26" fillId="4" borderId="0" xfId="0" applyFont="1" applyFill="1" applyAlignment="1">
      <alignment horizontal="left" vertical="center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4" fontId="22" fillId="0" borderId="0" xfId="0" applyNumberFormat="1" applyFont="1" applyAlignment="1">
      <alignment horizontal="left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67" fontId="1" fillId="3" borderId="4" xfId="0" applyNumberFormat="1" applyFont="1" applyFill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center" vertical="center"/>
    </xf>
    <xf numFmtId="167" fontId="6" fillId="2" borderId="14" xfId="0" applyNumberFormat="1" applyFont="1" applyFill="1" applyBorder="1" applyAlignment="1">
      <alignment horizontal="center" vertical="center"/>
    </xf>
    <xf numFmtId="167" fontId="1" fillId="2" borderId="4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 wrapText="1"/>
    </xf>
    <xf numFmtId="165" fontId="13" fillId="2" borderId="6" xfId="0" applyNumberFormat="1" applyFont="1" applyFill="1" applyBorder="1" applyAlignment="1">
      <alignment horizontal="center" vertical="center"/>
    </xf>
    <xf numFmtId="167" fontId="1" fillId="2" borderId="6" xfId="0" applyNumberFormat="1" applyFont="1" applyFill="1" applyBorder="1" applyAlignment="1">
      <alignment horizontal="center" vertical="center" wrapText="1"/>
    </xf>
    <xf numFmtId="167" fontId="13" fillId="2" borderId="15" xfId="0" applyNumberFormat="1" applyFont="1" applyFill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9" fillId="4" borderId="0" xfId="0" applyNumberFormat="1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164" fontId="1" fillId="0" borderId="0" xfId="1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167" fontId="24" fillId="0" borderId="11" xfId="0" applyNumberFormat="1" applyFont="1" applyBorder="1" applyAlignment="1">
      <alignment horizontal="left" vertical="center"/>
    </xf>
    <xf numFmtId="167" fontId="24" fillId="0" borderId="16" xfId="0" applyNumberFormat="1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167" fontId="24" fillId="0" borderId="12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7" fontId="6" fillId="0" borderId="4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9" fontId="1" fillId="0" borderId="3" xfId="5" applyNumberFormat="1" applyFont="1" applyBorder="1" applyAlignment="1">
      <alignment horizontal="center" vertical="center" wrapText="1"/>
    </xf>
    <xf numFmtId="169" fontId="0" fillId="0" borderId="4" xfId="5" applyNumberFormat="1" applyFont="1" applyBorder="1" applyAlignment="1">
      <alignment horizontal="center" vertical="center" wrapText="1"/>
    </xf>
    <xf numFmtId="169" fontId="1" fillId="0" borderId="4" xfId="5" applyNumberFormat="1" applyFont="1" applyBorder="1" applyAlignment="1">
      <alignment horizontal="center" vertical="center" wrapText="1"/>
    </xf>
    <xf numFmtId="0" fontId="18" fillId="0" borderId="4" xfId="5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left" vertical="center"/>
    </xf>
    <xf numFmtId="0" fontId="24" fillId="0" borderId="4" xfId="0" applyFont="1" applyBorder="1" applyAlignment="1">
      <alignment vertical="center"/>
    </xf>
    <xf numFmtId="167" fontId="24" fillId="0" borderId="4" xfId="0" applyNumberFormat="1" applyFont="1" applyBorder="1" applyAlignment="1">
      <alignment vertical="center"/>
    </xf>
    <xf numFmtId="0" fontId="24" fillId="4" borderId="4" xfId="0" applyFont="1" applyFill="1" applyBorder="1" applyAlignment="1">
      <alignment vertical="center"/>
    </xf>
    <xf numFmtId="167" fontId="24" fillId="4" borderId="4" xfId="0" applyNumberFormat="1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167" fontId="21" fillId="0" borderId="4" xfId="0" applyNumberFormat="1" applyFont="1" applyBorder="1" applyAlignment="1">
      <alignment vertical="center"/>
    </xf>
    <xf numFmtId="0" fontId="25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167" fontId="24" fillId="0" borderId="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167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8" fillId="0" borderId="0" xfId="0" applyNumberFormat="1" applyFont="1" applyAlignment="1">
      <alignment horizontal="left" vertical="center" wrapText="1"/>
    </xf>
    <xf numFmtId="14" fontId="26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vertical="center" wrapText="1"/>
    </xf>
    <xf numFmtId="14" fontId="22" fillId="0" borderId="0" xfId="0" applyNumberFormat="1" applyFont="1" applyAlignment="1">
      <alignment horizontal="left" vertical="center" wrapText="1"/>
    </xf>
    <xf numFmtId="167" fontId="29" fillId="0" borderId="0" xfId="0" applyNumberFormat="1" applyFont="1" applyAlignment="1">
      <alignment horizontal="left" vertical="center" wrapText="1"/>
    </xf>
    <xf numFmtId="14" fontId="23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7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3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247015</xdr:colOff>
      <xdr:row>10</xdr:row>
      <xdr:rowOff>96520</xdr:rowOff>
    </xdr:from>
    <xdr:to>
      <xdr:col>3</xdr:col>
      <xdr:colOff>1250315</xdr:colOff>
      <xdr:row>10</xdr:row>
      <xdr:rowOff>1041400</xdr:rowOff>
    </xdr:to>
    <xdr:pic>
      <xdr:nvPicPr>
        <xdr:cNvPr id="877" name="ID_463B8CB0627746CF97043FB63F09D606" descr="SB08094-L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7765" y="3109595"/>
          <a:ext cx="1003300" cy="944880"/>
        </a:xfrm>
        <a:prstGeom prst="rect">
          <a:avLst/>
        </a:prstGeom>
      </xdr:spPr>
    </xdr:pic>
    <xdr:clientData/>
  </xdr:twoCellAnchor>
  <xdr:twoCellAnchor editAs="oneCell">
    <xdr:from>
      <xdr:col>3</xdr:col>
      <xdr:colOff>257810</xdr:colOff>
      <xdr:row>11</xdr:row>
      <xdr:rowOff>118745</xdr:rowOff>
    </xdr:from>
    <xdr:to>
      <xdr:col>3</xdr:col>
      <xdr:colOff>1240155</xdr:colOff>
      <xdr:row>11</xdr:row>
      <xdr:rowOff>997585</xdr:rowOff>
    </xdr:to>
    <xdr:pic>
      <xdr:nvPicPr>
        <xdr:cNvPr id="1290" name="ID_972207721F6847669ECED3BCC7900F83" descr="SB13341-S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8560" y="4265295"/>
          <a:ext cx="982345" cy="878840"/>
        </a:xfrm>
        <a:prstGeom prst="rect">
          <a:avLst/>
        </a:prstGeom>
      </xdr:spPr>
    </xdr:pic>
    <xdr:clientData/>
  </xdr:twoCellAnchor>
  <xdr:twoCellAnchor editAs="oneCell">
    <xdr:from>
      <xdr:col>3</xdr:col>
      <xdr:colOff>257810</xdr:colOff>
      <xdr:row>12</xdr:row>
      <xdr:rowOff>118745</xdr:rowOff>
    </xdr:from>
    <xdr:to>
      <xdr:col>3</xdr:col>
      <xdr:colOff>1240155</xdr:colOff>
      <xdr:row>12</xdr:row>
      <xdr:rowOff>997585</xdr:rowOff>
    </xdr:to>
    <xdr:pic>
      <xdr:nvPicPr>
        <xdr:cNvPr id="1292" name="ID_E4F9D79B6F304157A56F687B6CDF4A65" descr="SB13852-S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8560" y="5370195"/>
          <a:ext cx="982345" cy="878840"/>
        </a:xfrm>
        <a:prstGeom prst="rect">
          <a:avLst/>
        </a:prstGeom>
      </xdr:spPr>
    </xdr:pic>
    <xdr:clientData/>
  </xdr:twoCellAnchor>
  <xdr:twoCellAnchor editAs="oneCell">
    <xdr:from>
      <xdr:col>3</xdr:col>
      <xdr:colOff>257810</xdr:colOff>
      <xdr:row>13</xdr:row>
      <xdr:rowOff>631190</xdr:rowOff>
    </xdr:from>
    <xdr:to>
      <xdr:col>3</xdr:col>
      <xdr:colOff>1240155</xdr:colOff>
      <xdr:row>14</xdr:row>
      <xdr:rowOff>439420</xdr:rowOff>
    </xdr:to>
    <xdr:pic>
      <xdr:nvPicPr>
        <xdr:cNvPr id="1312" name="ID_84BF88A181614481A6F8B2EE04929552" descr="SA06714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8560" y="6987540"/>
          <a:ext cx="982345" cy="875030"/>
        </a:xfrm>
        <a:prstGeom prst="rect">
          <a:avLst/>
        </a:prstGeom>
      </xdr:spPr>
    </xdr:pic>
    <xdr:clientData/>
  </xdr:twoCellAnchor>
  <xdr:twoCellAnchor editAs="oneCell">
    <xdr:from>
      <xdr:col>3</xdr:col>
      <xdr:colOff>257810</xdr:colOff>
      <xdr:row>15</xdr:row>
      <xdr:rowOff>118745</xdr:rowOff>
    </xdr:from>
    <xdr:to>
      <xdr:col>3</xdr:col>
      <xdr:colOff>1240155</xdr:colOff>
      <xdr:row>15</xdr:row>
      <xdr:rowOff>997585</xdr:rowOff>
    </xdr:to>
    <xdr:pic>
      <xdr:nvPicPr>
        <xdr:cNvPr id="1314" name="ID_0930DA560C014D8AA84E707231F37A25" descr="SB13966-S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8560" y="8608695"/>
          <a:ext cx="982345" cy="878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30"/>
  <sheetViews>
    <sheetView tabSelected="1" zoomScale="85" zoomScaleNormal="85" workbookViewId="0">
      <selection sqref="A1:X7"/>
    </sheetView>
  </sheetViews>
  <sheetFormatPr defaultColWidth="12.875" defaultRowHeight="15"/>
  <cols>
    <col min="1" max="1" width="6.125" style="7" customWidth="1"/>
    <col min="2" max="2" width="10.75" style="8" customWidth="1"/>
    <col min="3" max="3" width="11.875" style="7" customWidth="1"/>
    <col min="4" max="4" width="19.625" style="7" customWidth="1"/>
    <col min="5" max="5" width="15.875" style="9" customWidth="1"/>
    <col min="6" max="6" width="16.875" style="8" customWidth="1"/>
    <col min="7" max="7" width="14.375" style="1" customWidth="1"/>
    <col min="8" max="8" width="18.375" style="8" customWidth="1"/>
    <col min="9" max="16" width="4.125" style="8" customWidth="1"/>
    <col min="17" max="17" width="8" style="7" customWidth="1"/>
    <col min="18" max="18" width="9.875" style="10" customWidth="1"/>
    <col min="19" max="19" width="17.75" style="10" customWidth="1"/>
    <col min="20" max="21" width="14.75" style="11" customWidth="1"/>
    <col min="22" max="22" width="11.625" style="12" customWidth="1"/>
    <col min="23" max="23" width="11.625" style="13" customWidth="1"/>
    <col min="24" max="24" width="22.375" style="7" customWidth="1"/>
    <col min="25" max="170" width="12.875" style="6" customWidth="1"/>
    <col min="171" max="191" width="9" style="6" customWidth="1"/>
    <col min="192" max="192" width="6.125" style="6" customWidth="1"/>
    <col min="193" max="193" width="8.625" style="6" customWidth="1"/>
    <col min="194" max="16384" width="12.875" style="6"/>
  </cols>
  <sheetData>
    <row r="1" spans="1:28" s="1" customFormat="1" ht="18" customHeight="1">
      <c r="A1" s="129"/>
      <c r="B1" s="129"/>
      <c r="C1" s="129"/>
      <c r="D1" s="129"/>
      <c r="E1" s="129"/>
      <c r="F1" s="129"/>
      <c r="G1" s="130"/>
      <c r="H1" s="129"/>
      <c r="I1" s="129"/>
      <c r="J1" s="129"/>
      <c r="K1" s="129"/>
      <c r="L1" s="129"/>
      <c r="M1" s="129"/>
      <c r="N1" s="129"/>
      <c r="O1" s="129"/>
      <c r="P1" s="131"/>
      <c r="Q1" s="131"/>
      <c r="R1" s="132"/>
      <c r="S1" s="133"/>
      <c r="T1" s="132"/>
      <c r="U1" s="132"/>
      <c r="V1" s="129"/>
    </row>
    <row r="2" spans="1:28" s="1" customFormat="1" ht="15" customHeight="1">
      <c r="A2" s="134"/>
      <c r="B2" s="134"/>
      <c r="C2" s="134"/>
      <c r="D2" s="134"/>
      <c r="E2" s="134"/>
      <c r="F2" s="134"/>
      <c r="G2" s="135"/>
      <c r="H2" s="134"/>
      <c r="I2" s="134"/>
      <c r="J2" s="134"/>
      <c r="K2" s="134"/>
      <c r="L2" s="134"/>
      <c r="M2" s="134"/>
      <c r="N2" s="134"/>
      <c r="O2" s="134"/>
      <c r="P2" s="136"/>
      <c r="Q2" s="136"/>
      <c r="R2" s="137"/>
      <c r="S2" s="138"/>
      <c r="T2" s="137"/>
      <c r="U2" s="137"/>
      <c r="V2" s="134"/>
    </row>
    <row r="3" spans="1:28" s="1" customFormat="1" ht="13.5" customHeight="1">
      <c r="A3" s="134"/>
      <c r="B3" s="134"/>
      <c r="C3" s="134"/>
      <c r="D3" s="134"/>
      <c r="E3" s="134"/>
      <c r="F3" s="134"/>
      <c r="G3" s="135"/>
      <c r="H3" s="134"/>
      <c r="I3" s="134"/>
      <c r="J3" s="134"/>
      <c r="K3" s="134"/>
      <c r="L3" s="134"/>
      <c r="M3" s="134"/>
      <c r="N3" s="134"/>
      <c r="O3" s="134"/>
      <c r="P3" s="136"/>
      <c r="Q3" s="136"/>
      <c r="R3" s="137"/>
      <c r="S3" s="138"/>
      <c r="T3" s="137"/>
      <c r="U3" s="137"/>
      <c r="V3" s="134"/>
    </row>
    <row r="4" spans="1:28" s="1" customFormat="1" ht="20.25" customHeight="1">
      <c r="A4" s="139"/>
      <c r="B4" s="139"/>
      <c r="C4" s="139"/>
      <c r="D4" s="139"/>
      <c r="E4" s="139"/>
      <c r="F4" s="139"/>
      <c r="G4" s="130"/>
      <c r="H4" s="139"/>
      <c r="I4" s="139"/>
      <c r="J4" s="139"/>
      <c r="K4" s="139"/>
      <c r="L4" s="139"/>
      <c r="M4" s="139"/>
      <c r="N4" s="139"/>
      <c r="O4" s="139"/>
      <c r="P4" s="140"/>
      <c r="Q4" s="140"/>
      <c r="R4" s="132"/>
      <c r="S4" s="133"/>
      <c r="T4" s="132"/>
      <c r="U4" s="132"/>
      <c r="V4" s="139"/>
    </row>
    <row r="5" spans="1:28" s="1" customFormat="1" ht="21.75" customHeight="1">
      <c r="A5" s="115"/>
      <c r="B5" s="141"/>
      <c r="C5" s="115"/>
      <c r="D5" s="15"/>
      <c r="E5" s="15"/>
      <c r="G5" s="116"/>
      <c r="H5" s="116"/>
      <c r="I5" s="16"/>
      <c r="J5" s="16"/>
      <c r="K5" s="44"/>
      <c r="L5" s="44"/>
      <c r="M5" s="44"/>
      <c r="P5" s="45"/>
      <c r="Q5" s="45"/>
      <c r="R5" s="48"/>
      <c r="S5" s="47"/>
      <c r="T5" s="49"/>
      <c r="U5" s="49"/>
      <c r="V5" s="50"/>
    </row>
    <row r="6" spans="1:28" s="1" customFormat="1" ht="21.75" customHeight="1">
      <c r="A6" s="115"/>
      <c r="B6" s="115"/>
      <c r="C6" s="17"/>
      <c r="D6" s="15"/>
      <c r="E6" s="18"/>
      <c r="F6" s="14"/>
      <c r="G6" s="116"/>
      <c r="H6" s="116"/>
      <c r="I6" s="116"/>
      <c r="J6" s="116"/>
      <c r="K6" s="116"/>
      <c r="L6" s="116"/>
      <c r="M6" s="116"/>
      <c r="N6" s="116"/>
      <c r="O6" s="116"/>
      <c r="P6" s="117"/>
      <c r="Q6" s="118"/>
      <c r="R6" s="118"/>
      <c r="S6" s="51"/>
      <c r="T6" s="52"/>
      <c r="U6" s="119"/>
      <c r="V6" s="120"/>
      <c r="W6" s="119"/>
      <c r="X6" s="121"/>
    </row>
    <row r="7" spans="1:28" s="2" customFormat="1" ht="30.95" customHeight="1">
      <c r="A7" s="122"/>
      <c r="B7" s="123"/>
      <c r="C7" s="123"/>
      <c r="D7" s="19"/>
      <c r="F7" s="20"/>
      <c r="G7" s="124"/>
      <c r="H7" s="125"/>
      <c r="I7" s="20"/>
      <c r="J7" s="20"/>
      <c r="K7" s="20"/>
      <c r="L7" s="20"/>
      <c r="M7" s="20"/>
      <c r="N7" s="20"/>
      <c r="O7" s="20"/>
      <c r="P7" s="117"/>
      <c r="Q7" s="118"/>
      <c r="R7" s="118"/>
      <c r="S7" s="51"/>
      <c r="T7" s="53"/>
      <c r="U7" s="126"/>
      <c r="V7" s="127"/>
      <c r="W7" s="128"/>
      <c r="X7" s="126"/>
    </row>
    <row r="8" spans="1:28" s="1" customFormat="1" ht="21" customHeight="1">
      <c r="A8" s="89" t="s">
        <v>0</v>
      </c>
      <c r="B8" s="73" t="s">
        <v>1</v>
      </c>
      <c r="C8" s="73" t="s">
        <v>2</v>
      </c>
      <c r="D8" s="73" t="s">
        <v>3</v>
      </c>
      <c r="E8" s="95" t="s">
        <v>4</v>
      </c>
      <c r="F8" s="73" t="s">
        <v>5</v>
      </c>
      <c r="G8" s="73" t="s">
        <v>6</v>
      </c>
      <c r="H8" s="73" t="s">
        <v>7</v>
      </c>
      <c r="I8" s="73" t="s">
        <v>8</v>
      </c>
      <c r="J8" s="73"/>
      <c r="K8" s="73"/>
      <c r="L8" s="73"/>
      <c r="M8" s="73"/>
      <c r="N8" s="73"/>
      <c r="O8" s="73"/>
      <c r="P8" s="73"/>
      <c r="Q8" s="97" t="s">
        <v>9</v>
      </c>
      <c r="R8" s="77" t="s">
        <v>10</v>
      </c>
      <c r="S8" s="77" t="s">
        <v>11</v>
      </c>
      <c r="T8" s="73" t="s">
        <v>12</v>
      </c>
      <c r="U8" s="73" t="s">
        <v>13</v>
      </c>
      <c r="V8" s="73" t="s">
        <v>14</v>
      </c>
      <c r="W8" s="73" t="s">
        <v>15</v>
      </c>
      <c r="X8" s="75" t="s">
        <v>16</v>
      </c>
    </row>
    <row r="9" spans="1:28" s="1" customFormat="1" ht="21.95" customHeight="1">
      <c r="A9" s="90"/>
      <c r="B9" s="74"/>
      <c r="C9" s="74"/>
      <c r="D9" s="74"/>
      <c r="E9" s="96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98"/>
      <c r="R9" s="78"/>
      <c r="S9" s="78"/>
      <c r="T9" s="74"/>
      <c r="U9" s="74"/>
      <c r="V9" s="74"/>
      <c r="W9" s="74"/>
      <c r="X9" s="76"/>
    </row>
    <row r="10" spans="1:28" s="1" customFormat="1" ht="53.1" customHeight="1">
      <c r="A10" s="23" t="s">
        <v>17</v>
      </c>
      <c r="B10" s="24" t="s">
        <v>18</v>
      </c>
      <c r="C10" s="24" t="s">
        <v>19</v>
      </c>
      <c r="D10" s="24" t="s">
        <v>20</v>
      </c>
      <c r="E10" s="96"/>
      <c r="F10" s="24" t="s">
        <v>21</v>
      </c>
      <c r="G10" s="24" t="s">
        <v>22</v>
      </c>
      <c r="H10" s="24" t="s">
        <v>23</v>
      </c>
      <c r="I10" s="21">
        <v>3</v>
      </c>
      <c r="J10" s="21">
        <v>4</v>
      </c>
      <c r="K10" s="21">
        <v>5</v>
      </c>
      <c r="L10" s="21">
        <v>6</v>
      </c>
      <c r="M10" s="21">
        <v>7</v>
      </c>
      <c r="N10" s="21">
        <v>8</v>
      </c>
      <c r="O10" s="21">
        <v>9</v>
      </c>
      <c r="P10" s="21">
        <v>10</v>
      </c>
      <c r="Q10" s="55" t="s">
        <v>24</v>
      </c>
      <c r="R10" s="56" t="s">
        <v>25</v>
      </c>
      <c r="S10" s="56" t="s">
        <v>26</v>
      </c>
      <c r="T10" s="24" t="s">
        <v>27</v>
      </c>
      <c r="U10" s="24" t="s">
        <v>28</v>
      </c>
      <c r="V10" s="24" t="s">
        <v>29</v>
      </c>
      <c r="W10" s="24" t="s">
        <v>30</v>
      </c>
      <c r="X10" s="57" t="s">
        <v>31</v>
      </c>
    </row>
    <row r="11" spans="1:28" s="3" customFormat="1" ht="89.25" customHeight="1">
      <c r="A11" s="25">
        <v>1</v>
      </c>
      <c r="B11" s="26" t="s">
        <v>32</v>
      </c>
      <c r="C11" s="27" t="s">
        <v>33</v>
      </c>
      <c r="D11" s="28"/>
      <c r="E11" s="28"/>
      <c r="F11" s="29" t="s">
        <v>34</v>
      </c>
      <c r="G11" s="30" t="s">
        <v>35</v>
      </c>
      <c r="H11" s="28" t="s">
        <v>36</v>
      </c>
      <c r="I11" s="111" t="s">
        <v>37</v>
      </c>
      <c r="J11" s="111"/>
      <c r="K11" s="111"/>
      <c r="L11" s="111"/>
      <c r="M11" s="111"/>
      <c r="N11" s="111"/>
      <c r="O11" s="111"/>
      <c r="P11" s="111"/>
      <c r="Q11" s="58">
        <v>50</v>
      </c>
      <c r="R11" s="59">
        <v>1.94</v>
      </c>
      <c r="S11" s="59">
        <f t="shared" ref="S11:S16" si="0">Q11*R11</f>
        <v>97</v>
      </c>
      <c r="T11" s="60">
        <v>1.28</v>
      </c>
      <c r="U11" s="60">
        <v>2.98</v>
      </c>
      <c r="V11" s="61">
        <v>1.42</v>
      </c>
      <c r="W11" s="60">
        <f t="shared" ref="W11:W16" si="1">V11+U11</f>
        <v>4.4000000000000004</v>
      </c>
      <c r="X11" s="62">
        <f t="shared" ref="X11:X16" si="2">W11*S11+T11*Q11</f>
        <v>490.8</v>
      </c>
      <c r="Y11" s="72"/>
      <c r="AA11" s="72"/>
      <c r="AB11" s="72"/>
    </row>
    <row r="12" spans="1:28" s="3" customFormat="1" ht="87" customHeight="1">
      <c r="A12" s="25">
        <v>2</v>
      </c>
      <c r="B12" s="31" t="s">
        <v>32</v>
      </c>
      <c r="C12" s="32" t="s">
        <v>38</v>
      </c>
      <c r="D12" s="33"/>
      <c r="E12" s="34"/>
      <c r="F12" s="29" t="s">
        <v>34</v>
      </c>
      <c r="G12" s="30" t="s">
        <v>35</v>
      </c>
      <c r="H12" s="28" t="s">
        <v>36</v>
      </c>
      <c r="I12" s="111" t="s">
        <v>39</v>
      </c>
      <c r="J12" s="111"/>
      <c r="K12" s="111"/>
      <c r="L12" s="111"/>
      <c r="M12" s="111"/>
      <c r="N12" s="111"/>
      <c r="O12" s="111"/>
      <c r="P12" s="111"/>
      <c r="Q12" s="58">
        <v>50</v>
      </c>
      <c r="R12" s="58">
        <v>2.21</v>
      </c>
      <c r="S12" s="59">
        <f t="shared" si="0"/>
        <v>110.5</v>
      </c>
      <c r="T12" s="60">
        <v>0.69</v>
      </c>
      <c r="U12" s="60">
        <v>2.98</v>
      </c>
      <c r="V12" s="61">
        <v>1.74</v>
      </c>
      <c r="W12" s="60">
        <f t="shared" si="1"/>
        <v>4.72</v>
      </c>
      <c r="X12" s="62">
        <f t="shared" si="2"/>
        <v>556.05999999999995</v>
      </c>
    </row>
    <row r="13" spans="1:28" s="3" customFormat="1" ht="87" customHeight="1">
      <c r="A13" s="25">
        <v>3</v>
      </c>
      <c r="B13" s="31" t="s">
        <v>32</v>
      </c>
      <c r="C13" s="32" t="s">
        <v>40</v>
      </c>
      <c r="D13" s="33"/>
      <c r="E13" s="34"/>
      <c r="F13" s="29" t="s">
        <v>34</v>
      </c>
      <c r="G13" s="30" t="s">
        <v>35</v>
      </c>
      <c r="H13" s="28" t="s">
        <v>36</v>
      </c>
      <c r="I13" s="111" t="s">
        <v>39</v>
      </c>
      <c r="J13" s="111"/>
      <c r="K13" s="111"/>
      <c r="L13" s="111"/>
      <c r="M13" s="111"/>
      <c r="N13" s="111"/>
      <c r="O13" s="111"/>
      <c r="P13" s="111"/>
      <c r="Q13" s="58">
        <v>50</v>
      </c>
      <c r="R13" s="58">
        <v>3.49</v>
      </c>
      <c r="S13" s="59">
        <f t="shared" si="0"/>
        <v>174.5</v>
      </c>
      <c r="T13" s="60">
        <v>1.34</v>
      </c>
      <c r="U13" s="60">
        <v>2.98</v>
      </c>
      <c r="V13" s="61">
        <v>1.47</v>
      </c>
      <c r="W13" s="60">
        <f t="shared" si="1"/>
        <v>4.45</v>
      </c>
      <c r="X13" s="62">
        <f t="shared" si="2"/>
        <v>843.52499999999998</v>
      </c>
    </row>
    <row r="14" spans="1:28" s="4" customFormat="1" ht="84" customHeight="1">
      <c r="A14" s="91">
        <v>4</v>
      </c>
      <c r="B14" s="92" t="s">
        <v>41</v>
      </c>
      <c r="C14" s="93" t="s">
        <v>42</v>
      </c>
      <c r="D14" s="94"/>
      <c r="E14" s="34"/>
      <c r="F14" s="29" t="s">
        <v>34</v>
      </c>
      <c r="G14" s="30" t="s">
        <v>35</v>
      </c>
      <c r="H14" s="28" t="s">
        <v>36</v>
      </c>
      <c r="I14" s="111" t="s">
        <v>43</v>
      </c>
      <c r="J14" s="111"/>
      <c r="K14" s="111"/>
      <c r="L14" s="111"/>
      <c r="M14" s="111"/>
      <c r="N14" s="111"/>
      <c r="O14" s="111"/>
      <c r="P14" s="111"/>
      <c r="Q14" s="58">
        <v>20</v>
      </c>
      <c r="R14" s="58">
        <v>13.47</v>
      </c>
      <c r="S14" s="59">
        <f t="shared" si="0"/>
        <v>269.39999999999998</v>
      </c>
      <c r="T14" s="60">
        <v>0.71</v>
      </c>
      <c r="U14" s="60">
        <v>2.98</v>
      </c>
      <c r="V14" s="61">
        <v>0.87</v>
      </c>
      <c r="W14" s="60">
        <f t="shared" si="1"/>
        <v>3.85</v>
      </c>
      <c r="X14" s="62">
        <f t="shared" si="2"/>
        <v>1051.3900000000001</v>
      </c>
    </row>
    <row r="15" spans="1:28" s="4" customFormat="1" ht="84" customHeight="1">
      <c r="A15" s="91"/>
      <c r="B15" s="93"/>
      <c r="C15" s="93"/>
      <c r="D15" s="94"/>
      <c r="E15" s="34"/>
      <c r="F15" s="29" t="s">
        <v>34</v>
      </c>
      <c r="G15" s="30" t="s">
        <v>35</v>
      </c>
      <c r="H15" s="28" t="s">
        <v>44</v>
      </c>
      <c r="I15" s="111" t="s">
        <v>43</v>
      </c>
      <c r="J15" s="111"/>
      <c r="K15" s="111"/>
      <c r="L15" s="111"/>
      <c r="M15" s="111"/>
      <c r="N15" s="111"/>
      <c r="O15" s="111"/>
      <c r="P15" s="111"/>
      <c r="Q15" s="58">
        <v>12</v>
      </c>
      <c r="R15" s="58">
        <v>13.47</v>
      </c>
      <c r="S15" s="59">
        <f t="shared" si="0"/>
        <v>161.63999999999999</v>
      </c>
      <c r="T15" s="60">
        <v>0.71</v>
      </c>
      <c r="U15" s="60">
        <v>2.98</v>
      </c>
      <c r="V15" s="61">
        <v>0.87</v>
      </c>
      <c r="W15" s="60">
        <f t="shared" si="1"/>
        <v>3.85</v>
      </c>
      <c r="X15" s="62">
        <f t="shared" si="2"/>
        <v>630.83399999999995</v>
      </c>
    </row>
    <row r="16" spans="1:28" s="3" customFormat="1" ht="87" customHeight="1">
      <c r="A16" s="25">
        <v>5</v>
      </c>
      <c r="B16" s="31" t="s">
        <v>32</v>
      </c>
      <c r="C16" s="35" t="s">
        <v>45</v>
      </c>
      <c r="D16" s="33"/>
      <c r="E16" s="34"/>
      <c r="F16" s="29" t="s">
        <v>34</v>
      </c>
      <c r="G16" s="30" t="s">
        <v>35</v>
      </c>
      <c r="H16" s="34" t="s">
        <v>46</v>
      </c>
      <c r="I16" s="111" t="s">
        <v>39</v>
      </c>
      <c r="J16" s="111"/>
      <c r="K16" s="111"/>
      <c r="L16" s="111"/>
      <c r="M16" s="111"/>
      <c r="N16" s="111"/>
      <c r="O16" s="111"/>
      <c r="P16" s="111"/>
      <c r="Q16" s="58">
        <v>20</v>
      </c>
      <c r="R16" s="58">
        <v>14.2</v>
      </c>
      <c r="S16" s="59">
        <f t="shared" si="0"/>
        <v>284</v>
      </c>
      <c r="T16" s="60">
        <v>3.46</v>
      </c>
      <c r="U16" s="60">
        <v>2.98</v>
      </c>
      <c r="V16" s="61">
        <v>1.03</v>
      </c>
      <c r="W16" s="60">
        <f t="shared" si="1"/>
        <v>4.01</v>
      </c>
      <c r="X16" s="62">
        <f t="shared" si="2"/>
        <v>1208.04</v>
      </c>
    </row>
    <row r="17" spans="1:193" s="5" customFormat="1" ht="16.149999999999999" customHeight="1">
      <c r="A17" s="90"/>
      <c r="B17" s="74"/>
      <c r="C17" s="74"/>
      <c r="D17" s="21"/>
      <c r="E17" s="36"/>
      <c r="F17" s="36"/>
      <c r="G17" s="22"/>
      <c r="H17" s="21"/>
      <c r="I17" s="21"/>
      <c r="J17" s="21"/>
      <c r="K17" s="36"/>
      <c r="L17" s="36"/>
      <c r="M17" s="36"/>
      <c r="N17" s="36"/>
      <c r="O17" s="36"/>
      <c r="P17" s="36"/>
      <c r="Q17" s="21"/>
      <c r="R17" s="54"/>
      <c r="S17" s="54"/>
      <c r="T17" s="54"/>
      <c r="U17" s="54"/>
      <c r="V17" s="112" t="s">
        <v>47</v>
      </c>
      <c r="W17" s="112"/>
      <c r="X17" s="63">
        <f>Q18*0.3</f>
        <v>60.6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</row>
    <row r="18" spans="1:193" s="5" customFormat="1" ht="16.149999999999999" customHeight="1">
      <c r="A18" s="90" t="s">
        <v>48</v>
      </c>
      <c r="B18" s="74"/>
      <c r="C18" s="74"/>
      <c r="D18" s="21"/>
      <c r="E18" s="36"/>
      <c r="F18" s="36"/>
      <c r="G18" s="22"/>
      <c r="H18" s="21"/>
      <c r="I18" s="21"/>
      <c r="J18" s="21"/>
      <c r="K18" s="36"/>
      <c r="L18" s="36"/>
      <c r="M18" s="36"/>
      <c r="N18" s="36"/>
      <c r="O18" s="36"/>
      <c r="P18" s="36"/>
      <c r="Q18" s="21">
        <f>SUM(Q11:Q16)</f>
        <v>202</v>
      </c>
      <c r="R18" s="54"/>
      <c r="S18" s="54">
        <f>SUM(S11:S17)</f>
        <v>1097.04</v>
      </c>
      <c r="T18" s="54"/>
      <c r="U18" s="54"/>
      <c r="V18" s="64"/>
      <c r="W18" s="64"/>
      <c r="X18" s="63">
        <f>SUM(X11:X17)</f>
        <v>4841.2489999999998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</row>
    <row r="19" spans="1:193" s="5" customFormat="1" ht="16.149999999999999" customHeight="1">
      <c r="A19" s="113"/>
      <c r="B19" s="114"/>
      <c r="C19" s="114"/>
      <c r="D19" s="37"/>
      <c r="E19" s="38"/>
      <c r="F19" s="38"/>
      <c r="G19" s="39"/>
      <c r="H19" s="37"/>
      <c r="I19" s="37"/>
      <c r="J19" s="37"/>
      <c r="K19" s="38"/>
      <c r="L19" s="38"/>
      <c r="M19" s="38"/>
      <c r="N19" s="38"/>
      <c r="O19" s="38"/>
      <c r="P19" s="38"/>
      <c r="Q19" s="37"/>
      <c r="R19" s="65"/>
      <c r="S19" s="65"/>
      <c r="T19" s="66" t="s">
        <v>49</v>
      </c>
      <c r="U19" s="65"/>
      <c r="V19" s="67"/>
      <c r="W19" s="67"/>
      <c r="X19" s="68">
        <f>X18*0.98</f>
        <v>4744.4240200000004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</row>
    <row r="20" spans="1:193" ht="18.7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69"/>
      <c r="U20" s="41"/>
      <c r="V20" s="69"/>
      <c r="W20" s="7"/>
      <c r="X20" s="8"/>
      <c r="Y20" s="1"/>
      <c r="Z20" s="8"/>
      <c r="AA20" s="8"/>
      <c r="AB20" s="8"/>
      <c r="AC20" s="8"/>
      <c r="AD20" s="8"/>
      <c r="AE20" s="8"/>
      <c r="AF20" s="8"/>
      <c r="AG20" s="8"/>
      <c r="AH20" s="8"/>
      <c r="AI20" s="7"/>
      <c r="AJ20" s="10"/>
      <c r="AK20" s="10"/>
      <c r="AL20" s="11"/>
      <c r="AM20" s="11"/>
      <c r="AN20" s="12"/>
      <c r="AO20" s="13"/>
      <c r="AP20" s="7"/>
    </row>
    <row r="21" spans="1:193" ht="18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1"/>
      <c r="U21" s="100"/>
      <c r="V21" s="101"/>
      <c r="W21" s="7"/>
      <c r="X21" s="8"/>
      <c r="Y21" s="1"/>
      <c r="Z21" s="8"/>
      <c r="AA21" s="8"/>
      <c r="AB21" s="8"/>
      <c r="AC21" s="8"/>
      <c r="AD21" s="8"/>
      <c r="AE21" s="8"/>
      <c r="AF21" s="8"/>
      <c r="AG21" s="8"/>
      <c r="AH21" s="8"/>
      <c r="AI21" s="7"/>
      <c r="AJ21" s="10"/>
      <c r="AK21" s="10"/>
      <c r="AL21" s="11"/>
      <c r="AM21" s="11"/>
      <c r="AN21" s="12"/>
      <c r="AO21" s="13"/>
      <c r="AP21" s="7"/>
    </row>
    <row r="22" spans="1:193" ht="23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6"/>
      <c r="P22" s="46"/>
      <c r="Q22" s="46"/>
      <c r="R22" s="46"/>
      <c r="S22" s="46"/>
      <c r="T22" s="70"/>
      <c r="U22" s="71"/>
      <c r="V22" s="70"/>
      <c r="W22" s="7"/>
      <c r="X22" s="8"/>
      <c r="Y22" s="1"/>
      <c r="Z22" s="8"/>
      <c r="AA22" s="8"/>
      <c r="AB22" s="8"/>
      <c r="AC22" s="8"/>
      <c r="AD22" s="8"/>
      <c r="AE22" s="8"/>
      <c r="AF22" s="8"/>
      <c r="AG22" s="8"/>
      <c r="AH22" s="8"/>
      <c r="AI22" s="7"/>
      <c r="AJ22" s="10"/>
      <c r="AK22" s="10"/>
      <c r="AL22" s="11"/>
      <c r="AM22" s="11"/>
      <c r="AN22" s="12"/>
      <c r="AO22" s="13"/>
      <c r="AP22" s="7"/>
    </row>
    <row r="23" spans="1:193" ht="23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6"/>
      <c r="P23" s="46"/>
      <c r="Q23" s="46"/>
      <c r="R23" s="46"/>
      <c r="S23" s="46"/>
      <c r="T23" s="70"/>
      <c r="U23" s="71"/>
      <c r="V23" s="70"/>
      <c r="W23" s="7"/>
      <c r="X23" s="8"/>
      <c r="Y23" s="1"/>
      <c r="Z23" s="8"/>
      <c r="AA23" s="8"/>
      <c r="AB23" s="8"/>
      <c r="AC23" s="8"/>
      <c r="AD23" s="8"/>
      <c r="AE23" s="8"/>
      <c r="AF23" s="8"/>
      <c r="AG23" s="8"/>
      <c r="AH23" s="8"/>
      <c r="AI23" s="7"/>
      <c r="AJ23" s="10"/>
      <c r="AK23" s="10"/>
      <c r="AL23" s="11"/>
      <c r="AM23" s="11"/>
      <c r="AN23" s="12"/>
      <c r="AO23" s="13"/>
      <c r="AP23" s="7"/>
    </row>
    <row r="24" spans="1:193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02"/>
      <c r="V24" s="103"/>
      <c r="W24" s="7"/>
      <c r="X24" s="8"/>
      <c r="Y24" s="1"/>
      <c r="Z24" s="8"/>
      <c r="AA24" s="8"/>
      <c r="AB24" s="8"/>
      <c r="AC24" s="8"/>
      <c r="AD24" s="8"/>
      <c r="AE24" s="8"/>
      <c r="AF24" s="8"/>
      <c r="AG24" s="8"/>
      <c r="AH24" s="8"/>
      <c r="AI24" s="7"/>
      <c r="AJ24" s="10"/>
      <c r="AK24" s="10"/>
      <c r="AL24" s="11"/>
      <c r="AM24" s="11"/>
      <c r="AN24" s="12"/>
      <c r="AO24" s="13"/>
      <c r="AP24" s="7"/>
    </row>
    <row r="25" spans="1:193" ht="29.1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5"/>
      <c r="U25" s="104"/>
      <c r="V25" s="105"/>
      <c r="W25" s="7"/>
      <c r="X25" s="8"/>
      <c r="Y25" s="1"/>
      <c r="Z25" s="8"/>
      <c r="AA25" s="8"/>
      <c r="AB25" s="8"/>
      <c r="AC25" s="8"/>
      <c r="AD25" s="8"/>
      <c r="AE25" s="8"/>
      <c r="AF25" s="8"/>
      <c r="AG25" s="8"/>
      <c r="AH25" s="8"/>
      <c r="AI25" s="7"/>
      <c r="AJ25" s="10"/>
      <c r="AK25" s="10"/>
      <c r="AL25" s="11"/>
      <c r="AM25" s="11"/>
      <c r="AN25" s="12"/>
      <c r="AO25" s="13"/>
      <c r="AP25" s="7"/>
    </row>
    <row r="26" spans="1:193" ht="18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7"/>
      <c r="U26" s="106"/>
      <c r="V26" s="107"/>
      <c r="W26" s="7"/>
      <c r="X26" s="8"/>
      <c r="Y26" s="1"/>
      <c r="Z26" s="8"/>
      <c r="AA26" s="8"/>
      <c r="AB26" s="8"/>
      <c r="AC26" s="8"/>
      <c r="AD26" s="8"/>
      <c r="AE26" s="8"/>
      <c r="AF26" s="8"/>
      <c r="AG26" s="8"/>
      <c r="AH26" s="8"/>
      <c r="AI26" s="7"/>
      <c r="AJ26" s="10"/>
      <c r="AK26" s="10"/>
      <c r="AL26" s="11"/>
      <c r="AM26" s="11"/>
      <c r="AN26" s="12"/>
      <c r="AO26" s="13"/>
      <c r="AP26" s="7"/>
    </row>
    <row r="27" spans="1:193">
      <c r="A27" s="108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10"/>
      <c r="U27" s="109"/>
      <c r="V27" s="110"/>
      <c r="W27" s="7"/>
      <c r="X27" s="8"/>
      <c r="Y27" s="1"/>
      <c r="Z27" s="8"/>
      <c r="AA27" s="8"/>
      <c r="AB27" s="8"/>
      <c r="AC27" s="8"/>
      <c r="AD27" s="8"/>
      <c r="AE27" s="8"/>
      <c r="AF27" s="8"/>
      <c r="AG27" s="8"/>
      <c r="AH27" s="8"/>
      <c r="AI27" s="7"/>
      <c r="AJ27" s="10"/>
      <c r="AK27" s="10"/>
      <c r="AL27" s="11"/>
      <c r="AM27" s="11"/>
      <c r="AN27" s="12"/>
      <c r="AO27" s="13"/>
      <c r="AP27" s="7"/>
    </row>
    <row r="28" spans="1:193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1"/>
      <c r="U28" s="80"/>
      <c r="V28" s="82"/>
      <c r="W28" s="7"/>
      <c r="X28" s="8"/>
      <c r="Y28" s="1"/>
      <c r="Z28" s="8"/>
      <c r="AA28" s="8"/>
      <c r="AB28" s="8"/>
      <c r="AC28" s="8"/>
      <c r="AD28" s="8"/>
      <c r="AE28" s="8"/>
      <c r="AF28" s="8"/>
      <c r="AG28" s="8"/>
      <c r="AH28" s="8"/>
      <c r="AI28" s="7"/>
      <c r="AJ28" s="10"/>
      <c r="AK28" s="10"/>
      <c r="AL28" s="11"/>
      <c r="AM28" s="11"/>
      <c r="AN28" s="12"/>
      <c r="AO28" s="13"/>
      <c r="AP28" s="7"/>
    </row>
    <row r="29" spans="1:193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5"/>
      <c r="U29" s="84"/>
      <c r="V29" s="85"/>
      <c r="W29" s="7"/>
      <c r="X29" s="8"/>
      <c r="Y29" s="1"/>
      <c r="Z29" s="8"/>
      <c r="AA29" s="8"/>
      <c r="AB29" s="8"/>
      <c r="AC29" s="8"/>
      <c r="AD29" s="8"/>
      <c r="AE29" s="8"/>
      <c r="AF29" s="8"/>
      <c r="AG29" s="8"/>
      <c r="AH29" s="8"/>
      <c r="AI29" s="7"/>
      <c r="AJ29" s="10"/>
      <c r="AK29" s="10"/>
      <c r="AL29" s="11"/>
      <c r="AM29" s="11"/>
      <c r="AN29" s="12"/>
      <c r="AO29" s="13"/>
      <c r="AP29" s="7"/>
    </row>
    <row r="30" spans="1:193" ht="15.75">
      <c r="A30" s="86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8"/>
      <c r="U30" s="87"/>
      <c r="V30" s="88"/>
      <c r="W30" s="7"/>
      <c r="X30" s="8"/>
      <c r="Y30" s="1"/>
      <c r="Z30" s="8"/>
      <c r="AA30" s="8"/>
      <c r="AB30" s="8"/>
      <c r="AC30" s="8"/>
      <c r="AD30" s="8"/>
      <c r="AE30" s="8"/>
      <c r="AF30" s="8"/>
      <c r="AG30" s="8"/>
      <c r="AH30" s="8"/>
      <c r="AI30" s="7"/>
      <c r="AJ30" s="10"/>
      <c r="AK30" s="10"/>
      <c r="AL30" s="11"/>
      <c r="AM30" s="11"/>
      <c r="AN30" s="12"/>
      <c r="AO30" s="13"/>
      <c r="AP30" s="7"/>
    </row>
  </sheetData>
  <mergeCells count="53">
    <mergeCell ref="A1:V1"/>
    <mergeCell ref="A2:V2"/>
    <mergeCell ref="A3:V3"/>
    <mergeCell ref="A4:V4"/>
    <mergeCell ref="A5:C5"/>
    <mergeCell ref="G5:H5"/>
    <mergeCell ref="A6:B6"/>
    <mergeCell ref="G6:O6"/>
    <mergeCell ref="P6:R6"/>
    <mergeCell ref="U6:X6"/>
    <mergeCell ref="A7:C7"/>
    <mergeCell ref="G7:H7"/>
    <mergeCell ref="P7:R7"/>
    <mergeCell ref="U7:X7"/>
    <mergeCell ref="I11:P11"/>
    <mergeCell ref="I12:P12"/>
    <mergeCell ref="I13:P13"/>
    <mergeCell ref="I14:P14"/>
    <mergeCell ref="I15:P15"/>
    <mergeCell ref="I16:P16"/>
    <mergeCell ref="A17:C17"/>
    <mergeCell ref="V17:W17"/>
    <mergeCell ref="A18:C18"/>
    <mergeCell ref="A19:C19"/>
    <mergeCell ref="A21:V21"/>
    <mergeCell ref="A24:V24"/>
    <mergeCell ref="A25:V25"/>
    <mergeCell ref="A26:V26"/>
    <mergeCell ref="A27:V27"/>
    <mergeCell ref="A28:V28"/>
    <mergeCell ref="A29:V29"/>
    <mergeCell ref="A30:V30"/>
    <mergeCell ref="A8:A9"/>
    <mergeCell ref="A14:A15"/>
    <mergeCell ref="B8:B9"/>
    <mergeCell ref="B14:B15"/>
    <mergeCell ref="C8:C9"/>
    <mergeCell ref="C14:C15"/>
    <mergeCell ref="D8:D9"/>
    <mergeCell ref="D14:D15"/>
    <mergeCell ref="E8:E10"/>
    <mergeCell ref="F8:F9"/>
    <mergeCell ref="G8:G9"/>
    <mergeCell ref="H8:H9"/>
    <mergeCell ref="Q8:Q9"/>
    <mergeCell ref="W8:W9"/>
    <mergeCell ref="X8:X9"/>
    <mergeCell ref="I8:P9"/>
    <mergeCell ref="R8:R9"/>
    <mergeCell ref="S8:S9"/>
    <mergeCell ref="T8:T9"/>
    <mergeCell ref="U8:U9"/>
    <mergeCell ref="V8:V9"/>
  </mergeCells>
  <conditionalFormatting sqref="C14">
    <cfRule type="duplicateValues" dxfId="2" priority="3"/>
  </conditionalFormatting>
  <conditionalFormatting sqref="C17">
    <cfRule type="duplicateValues" dxfId="1" priority="1"/>
  </conditionalFormatting>
  <conditionalFormatting sqref="U17">
    <cfRule type="cellIs" dxfId="0" priority="2" stopIfTrue="1" operator="lessThan">
      <formula>0</formula>
    </cfRule>
  </conditionalFormatting>
  <pageMargins left="0" right="0" top="0" bottom="0" header="0" footer="0"/>
  <pageSetup paperSize="9" scale="50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33DAAF4-63CA-4D8A-8C43-AE7919BD47DD}"/>
</file>

<file path=customXml/itemProps2.xml><?xml version="1.0" encoding="utf-8"?>
<ds:datastoreItem xmlns:ds="http://schemas.openxmlformats.org/officeDocument/2006/customXml" ds:itemID="{9412F646-6545-47DB-A7A5-355EE673C37A}"/>
</file>

<file path=customXml/itemProps3.xml><?xml version="1.0" encoding="utf-8"?>
<ds:datastoreItem xmlns:ds="http://schemas.openxmlformats.org/officeDocument/2006/customXml" ds:itemID="{7B718F38-CCDC-4397-98BF-F481FE338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2026-05-26T14:17:06Z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4B2ADF5E6B9843F1864A2B91B4E58516_13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7128000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