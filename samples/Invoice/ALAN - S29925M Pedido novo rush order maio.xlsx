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17"/>
  <workbookPr/>
  <mc:AlternateContent xmlns:mc="http://schemas.openxmlformats.org/markup-compatibility/2006">
    <mc:Choice Requires="x15">
      <x15ac:absPath xmlns:x15ac="http://schemas.microsoft.com/office/spreadsheetml/2010/11/ac" url="https://azimemoda-my.sharepoint.com/personal/renato_azime_com_br/Documents/00-Geral/Diretoria/02-Compras/01-Pedidos/202602/Aprovados Alinare/menus prontos pra confirma/"/>
    </mc:Choice>
  </mc:AlternateContent>
  <xr:revisionPtr revIDLastSave="2" documentId="8_{3D2CEC1D-35BE-4D27-9235-DD838DB0AD53}" xr6:coauthVersionLast="47" xr6:coauthVersionMax="47" xr10:uidLastSave="{07ECCCC2-F232-47ED-9039-96819A0CE9FC}"/>
  <bookViews>
    <workbookView xWindow="28680" yWindow="-120" windowWidth="29040" windowHeight="15720" xr2:uid="{00000000-000D-0000-FFFF-FFFF00000000}"/>
  </bookViews>
  <sheets>
    <sheet name="S299 (3)" sheetId="3" r:id="rId1"/>
  </sheets>
  <definedNames>
    <definedName name="_xlnm._FilterDatabase" localSheetId="0" hidden="1">'S299 (3)'!$A$10:$GM$38</definedName>
    <definedName name="_xlnm.Print_Area" localSheetId="0">'S299 (3)'!$A$1:$X$38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9" i="3" l="1"/>
  <c r="X19" i="3"/>
  <c r="X27" i="3"/>
  <c r="S27" i="3"/>
  <c r="Q27" i="3"/>
  <c r="X26" i="3"/>
  <c r="W26" i="3"/>
  <c r="S26" i="3"/>
  <c r="X25" i="3"/>
  <c r="W25" i="3"/>
  <c r="S25" i="3"/>
  <c r="X24" i="3"/>
  <c r="W24" i="3"/>
  <c r="S24" i="3"/>
  <c r="X23" i="3"/>
  <c r="W23" i="3"/>
  <c r="S23" i="3"/>
  <c r="X22" i="3"/>
  <c r="W22" i="3"/>
  <c r="S22" i="3"/>
  <c r="X21" i="3"/>
  <c r="W21" i="3"/>
  <c r="S21" i="3"/>
  <c r="X20" i="3"/>
  <c r="W20" i="3"/>
  <c r="S20" i="3"/>
  <c r="S19" i="3"/>
  <c r="X18" i="3"/>
  <c r="W18" i="3"/>
  <c r="S18" i="3"/>
  <c r="X17" i="3"/>
  <c r="W17" i="3"/>
  <c r="S17" i="3"/>
  <c r="X16" i="3"/>
  <c r="W16" i="3"/>
  <c r="S16" i="3"/>
  <c r="X15" i="3"/>
  <c r="W15" i="3"/>
  <c r="S15" i="3"/>
  <c r="X14" i="3"/>
  <c r="W14" i="3"/>
  <c r="S14" i="3"/>
  <c r="X13" i="3"/>
  <c r="W13" i="3"/>
  <c r="S13" i="3"/>
  <c r="X12" i="3"/>
  <c r="W12" i="3"/>
  <c r="S12" i="3"/>
  <c r="X11" i="3"/>
  <c r="W11" i="3"/>
  <c r="S11" i="3"/>
</calcChain>
</file>

<file path=xl/sharedStrings.xml><?xml version="1.0" encoding="utf-8"?>
<sst xmlns="http://schemas.openxmlformats.org/spreadsheetml/2006/main" count="126" uniqueCount="57">
  <si>
    <r>
      <rPr>
        <b/>
        <sz val="12"/>
        <rFont val="宋体"/>
        <charset val="134"/>
      </rPr>
      <t>下单日期</t>
    </r>
    <r>
      <rPr>
        <b/>
        <sz val="12"/>
        <rFont val="Arial"/>
        <family val="2"/>
      </rPr>
      <t>Order date:</t>
    </r>
  </si>
  <si>
    <r>
      <rPr>
        <b/>
        <sz val="12"/>
        <rFont val="宋体"/>
        <charset val="134"/>
      </rPr>
      <t>出货期</t>
    </r>
    <r>
      <rPr>
        <b/>
        <sz val="12"/>
        <rFont val="Arial"/>
        <family val="2"/>
      </rPr>
      <t>Delivery date:</t>
    </r>
  </si>
  <si>
    <t>Ref.</t>
  </si>
  <si>
    <t>Dec.</t>
  </si>
  <si>
    <t>Item No.</t>
  </si>
  <si>
    <t>Pic.</t>
  </si>
  <si>
    <t>款式做法以及改版说明</t>
  </si>
  <si>
    <t>STONE COLOR</t>
  </si>
  <si>
    <t>CHINESE</t>
  </si>
  <si>
    <t>Plating</t>
  </si>
  <si>
    <r>
      <rPr>
        <b/>
        <sz val="12"/>
        <rFont val="Arial"/>
        <family val="2"/>
      </rPr>
      <t xml:space="preserve">SIZE </t>
    </r>
    <r>
      <rPr>
        <b/>
        <sz val="12"/>
        <rFont val="宋体"/>
        <charset val="134"/>
      </rPr>
      <t>美围</t>
    </r>
  </si>
  <si>
    <t>Q'ty          (pcs)</t>
  </si>
  <si>
    <t>Unit Weight(g)</t>
  </si>
  <si>
    <t>Total WT(G)</t>
  </si>
  <si>
    <t>mossanite stone price by pcs</t>
  </si>
  <si>
    <t>Silver Price   (USD/g)</t>
  </si>
  <si>
    <t>Labor Price   (USD/g)</t>
  </si>
  <si>
    <t>Price   (USD/g)</t>
  </si>
  <si>
    <t>Total               (USD)</t>
  </si>
  <si>
    <t>序号</t>
  </si>
  <si>
    <t>产品类别</t>
  </si>
  <si>
    <t>产品编号</t>
  </si>
  <si>
    <t>图片</t>
  </si>
  <si>
    <t>石头色</t>
  </si>
  <si>
    <t>石头色中文</t>
  </si>
  <si>
    <t>电镀</t>
  </si>
  <si>
    <r>
      <rPr>
        <b/>
        <sz val="12"/>
        <rFont val="宋体"/>
        <charset val="134"/>
      </rPr>
      <t>数量（</t>
    </r>
    <r>
      <rPr>
        <b/>
        <sz val="12"/>
        <rFont val="Arial"/>
        <family val="2"/>
      </rPr>
      <t>pcs</t>
    </r>
    <r>
      <rPr>
        <b/>
        <sz val="12"/>
        <rFont val="宋体"/>
        <charset val="134"/>
      </rPr>
      <t>）</t>
    </r>
  </si>
  <si>
    <r>
      <rPr>
        <b/>
        <sz val="12"/>
        <rFont val="宋体"/>
        <charset val="134"/>
      </rPr>
      <t>成品单重（</t>
    </r>
    <r>
      <rPr>
        <b/>
        <sz val="12"/>
        <rFont val="Arial"/>
        <family val="2"/>
      </rPr>
      <t>g/pcs</t>
    </r>
    <r>
      <rPr>
        <b/>
        <sz val="12"/>
        <rFont val="宋体"/>
        <charset val="134"/>
      </rPr>
      <t>）</t>
    </r>
  </si>
  <si>
    <r>
      <rPr>
        <b/>
        <sz val="12"/>
        <rFont val="宋体"/>
        <charset val="134"/>
      </rPr>
      <t>总重（</t>
    </r>
    <r>
      <rPr>
        <b/>
        <sz val="12"/>
        <rFont val="Arial"/>
        <family val="2"/>
      </rPr>
      <t>g</t>
    </r>
    <r>
      <rPr>
        <b/>
        <sz val="12"/>
        <rFont val="宋体"/>
        <charset val="134"/>
      </rPr>
      <t>）</t>
    </r>
  </si>
  <si>
    <t>莫桑石价/件</t>
  </si>
  <si>
    <t>银价单价按克</t>
  </si>
  <si>
    <t>工费单价按克</t>
  </si>
  <si>
    <t>单价按克</t>
  </si>
  <si>
    <t>总金额</t>
  </si>
  <si>
    <t>original moissanite cost</t>
  </si>
  <si>
    <t>耳环</t>
  </si>
  <si>
    <t>SE49954M</t>
  </si>
  <si>
    <t>5 mm</t>
  </si>
  <si>
    <t>all moissanite and rh</t>
  </si>
  <si>
    <t>白莫桑石</t>
  </si>
  <si>
    <r>
      <rPr>
        <sz val="11"/>
        <rFont val="Arial"/>
        <family val="2"/>
      </rPr>
      <t xml:space="preserve">rodium plate </t>
    </r>
    <r>
      <rPr>
        <sz val="11"/>
        <rFont val="宋体"/>
        <charset val="134"/>
      </rPr>
      <t>镀白</t>
    </r>
  </si>
  <si>
    <t>all moissanite and gold platting</t>
  </si>
  <si>
    <r>
      <rPr>
        <sz val="11"/>
        <rFont val="Arial"/>
        <family val="2"/>
      </rPr>
      <t>gold</t>
    </r>
    <r>
      <rPr>
        <sz val="11"/>
        <rFont val="宋体"/>
        <charset val="134"/>
      </rPr>
      <t>（</t>
    </r>
    <r>
      <rPr>
        <sz val="11"/>
        <rFont val="Arial"/>
        <family val="2"/>
      </rPr>
      <t xml:space="preserve"> S208  2025-03#  GP+</t>
    </r>
    <r>
      <rPr>
        <sz val="11"/>
        <rFont val="宋体"/>
        <charset val="134"/>
      </rPr>
      <t>泳漆色板）</t>
    </r>
  </si>
  <si>
    <t>项链</t>
  </si>
  <si>
    <t>SN21833M-S</t>
  </si>
  <si>
    <r>
      <rPr>
        <sz val="11"/>
        <rFont val="Arial"/>
        <family val="2"/>
      </rPr>
      <t>40+2.5+2.5CM,</t>
    </r>
    <r>
      <rPr>
        <sz val="11"/>
        <rFont val="宋体"/>
        <charset val="134"/>
      </rPr>
      <t>延长链同原链条</t>
    </r>
  </si>
  <si>
    <t>SE49955M</t>
  </si>
  <si>
    <t>6.5MM</t>
  </si>
  <si>
    <t>6,5MM</t>
  </si>
  <si>
    <t>SN21834M-S</t>
  </si>
  <si>
    <t>SE49953M</t>
  </si>
  <si>
    <t>8MM</t>
  </si>
  <si>
    <t>SN21832M-S</t>
  </si>
  <si>
    <t>SE49956M</t>
  </si>
  <si>
    <t>10MM</t>
  </si>
  <si>
    <t>SN21835M-S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</si>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</sst>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 ;_ * \-#,##0.00_ ;_ * &quot;-&quot;??_ ;_ @_ "/>
    <numFmt numFmtId="165" formatCode="0.00_ "/>
    <numFmt numFmtId="166" formatCode="&quot;US$&quot;#,##0.00_);[Red]\(&quot;US$&quot;#,##0.00\)"/>
    <numFmt numFmtId="167" formatCode="&quot;US$&quot;#,##0.00;\-&quot;US$&quot;#,##0.00"/>
    <numFmt numFmtId="168" formatCode="0.00_);[Red]\(0.00\)"/>
    <numFmt numFmtId="169" formatCode="0_);[Red]\(0\)"/>
    <numFmt numFmtId="170" formatCode="yyyy/m/d;@"/>
    <numFmt numFmtId="171" formatCode="0.0_);[Red]\(0.0\)"/>
  </numFmts>
  <fonts count="32">
    <font>
      <sz val="12"/>
      <name val="宋体"/>
      <charset val="134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2"/>
      <color rgb="FFFF0000"/>
      <name val="宋体"/>
      <charset val="134"/>
    </font>
    <font>
      <b/>
      <sz val="18"/>
      <name val="Times New Roman"/>
      <family val="1"/>
    </font>
    <font>
      <b/>
      <sz val="12"/>
      <name val="Arial"/>
      <family val="2"/>
    </font>
    <font>
      <b/>
      <sz val="11"/>
      <name val="Times New Roman"/>
      <family val="1"/>
    </font>
    <font>
      <b/>
      <sz val="18"/>
      <name val="Arial"/>
      <family val="2"/>
    </font>
    <font>
      <b/>
      <sz val="12"/>
      <name val="宋体"/>
      <charset val="134"/>
    </font>
    <font>
      <b/>
      <sz val="12"/>
      <color indexed="8"/>
      <name val="宋体"/>
      <charset val="134"/>
    </font>
    <font>
      <b/>
      <sz val="12"/>
      <color indexed="8"/>
      <name val="Arial"/>
      <family val="2"/>
    </font>
    <font>
      <b/>
      <sz val="12"/>
      <color rgb="FFFF0000"/>
      <name val="宋体"/>
      <charset val="134"/>
    </font>
    <font>
      <b/>
      <sz val="12"/>
      <color rgb="FFFF0000"/>
      <name val="Arial"/>
      <family val="2"/>
    </font>
    <font>
      <sz val="11"/>
      <name val="宋体"/>
      <charset val="134"/>
    </font>
    <font>
      <b/>
      <sz val="10"/>
      <color indexed="12"/>
      <name val="宋体"/>
      <charset val="134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14"/>
      <color rgb="FFFF0000"/>
      <name val="宋体"/>
      <charset val="134"/>
    </font>
    <font>
      <b/>
      <sz val="14"/>
      <color rgb="FFFF000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8"/>
      <name val="Arial"/>
      <family val="2"/>
    </font>
    <font>
      <b/>
      <sz val="18"/>
      <name val="宋体"/>
      <charset val="134"/>
    </font>
    <font>
      <b/>
      <sz val="18"/>
      <color rgb="FFFF0000"/>
      <name val="宋体"/>
      <charset val="134"/>
    </font>
    <font>
      <sz val="18"/>
      <color rgb="FFFF0000"/>
      <name val="Arial"/>
      <family val="2"/>
    </font>
    <font>
      <b/>
      <sz val="18"/>
      <color rgb="FFFF0000"/>
      <name val="Arial"/>
      <family val="2"/>
    </font>
    <font>
      <sz val="11"/>
      <color rgb="FF000000"/>
      <name val="Arial"/>
      <family val="2"/>
    </font>
    <font>
      <b/>
      <sz val="10"/>
      <color rgb="FFFF0000"/>
      <name val="Arial"/>
      <family val="2"/>
    </font>
    <font>
      <sz val="10"/>
      <color indexed="8"/>
      <name val="Arial"/>
      <family val="2"/>
    </font>
    <font>
      <sz val="12"/>
      <name val="新細明體"/>
      <charset val="134"/>
    </font>
    <font>
      <sz val="12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7">
    <xf numFmtId="0" fontId="0" fillId="0" borderId="0">
      <alignment vertical="top"/>
    </xf>
    <xf numFmtId="164" fontId="31" fillId="0" borderId="0" applyFont="0" applyFill="0" applyBorder="0" applyAlignment="0" applyProtection="0"/>
    <xf numFmtId="0" fontId="31" fillId="0" borderId="0">
      <alignment vertical="top"/>
    </xf>
    <xf numFmtId="0" fontId="29" fillId="0" borderId="0">
      <alignment vertical="top"/>
    </xf>
    <xf numFmtId="0" fontId="31" fillId="0" borderId="0">
      <alignment vertical="center"/>
    </xf>
    <xf numFmtId="0" fontId="30" fillId="0" borderId="0"/>
    <xf numFmtId="0" fontId="29" fillId="0" borderId="0">
      <alignment vertical="top"/>
    </xf>
  </cellStyleXfs>
  <cellXfs count="144">
    <xf numFmtId="0" fontId="0" fillId="0" borderId="0" xfId="0">
      <alignment vertical="top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/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/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8" fontId="6" fillId="0" borderId="0" xfId="0" applyNumberFormat="1" applyFont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0" xfId="1" applyNumberFormat="1" applyFont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49" fontId="16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6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 shrinkToFit="1" readingOrder="1"/>
    </xf>
    <xf numFmtId="0" fontId="6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 wrapText="1"/>
    </xf>
    <xf numFmtId="0" fontId="12" fillId="0" borderId="0" xfId="1" applyNumberFormat="1" applyFont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167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170" fontId="9" fillId="0" borderId="0" xfId="0" applyNumberFormat="1" applyFont="1" applyAlignment="1">
      <alignment horizontal="center" vertical="center"/>
    </xf>
    <xf numFmtId="14" fontId="8" fillId="0" borderId="0" xfId="0" applyNumberFormat="1" applyFont="1" applyAlignment="1">
      <alignment horizontal="left" vertical="center" wrapText="1"/>
    </xf>
    <xf numFmtId="14" fontId="24" fillId="0" borderId="0" xfId="0" applyNumberFormat="1" applyFont="1" applyAlignment="1">
      <alignment horizontal="left" vertical="center" wrapText="1"/>
    </xf>
    <xf numFmtId="171" fontId="9" fillId="2" borderId="4" xfId="0" applyNumberFormat="1" applyFont="1" applyFill="1" applyBorder="1" applyAlignment="1">
      <alignment horizontal="center" vertical="center" wrapText="1"/>
    </xf>
    <xf numFmtId="165" fontId="9" fillId="2" borderId="4" xfId="0" applyNumberFormat="1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 shrinkToFit="1" readingOrder="1"/>
    </xf>
    <xf numFmtId="165" fontId="2" fillId="0" borderId="4" xfId="0" applyNumberFormat="1" applyFont="1" applyBorder="1" applyAlignment="1">
      <alignment horizontal="center" vertical="center"/>
    </xf>
    <xf numFmtId="167" fontId="2" fillId="0" borderId="4" xfId="0" applyNumberFormat="1" applyFont="1" applyBorder="1" applyAlignment="1">
      <alignment horizontal="center" vertical="center"/>
    </xf>
    <xf numFmtId="167" fontId="2" fillId="0" borderId="13" xfId="0" applyNumberFormat="1" applyFont="1" applyBorder="1" applyAlignment="1">
      <alignment horizontal="center" vertical="center"/>
    </xf>
    <xf numFmtId="165" fontId="6" fillId="2" borderId="6" xfId="0" applyNumberFormat="1" applyFont="1" applyFill="1" applyBorder="1" applyAlignment="1">
      <alignment horizontal="center" vertical="center" wrapText="1"/>
    </xf>
    <xf numFmtId="167" fontId="1" fillId="2" borderId="6" xfId="0" applyNumberFormat="1" applyFont="1" applyFill="1" applyBorder="1" applyAlignment="1">
      <alignment horizontal="center" vertical="center" wrapText="1"/>
    </xf>
    <xf numFmtId="167" fontId="6" fillId="2" borderId="14" xfId="0" applyNumberFormat="1" applyFont="1" applyFill="1" applyBorder="1" applyAlignment="1">
      <alignment horizontal="center" vertical="center"/>
    </xf>
    <xf numFmtId="167" fontId="2" fillId="3" borderId="4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171" fontId="6" fillId="2" borderId="2" xfId="0" applyNumberFormat="1" applyFont="1" applyFill="1" applyBorder="1" applyAlignment="1">
      <alignment horizontal="center" vertical="center" wrapText="1"/>
    </xf>
    <xf numFmtId="171" fontId="6" fillId="2" borderId="4" xfId="0" applyNumberFormat="1" applyFont="1" applyFill="1" applyBorder="1" applyAlignment="1">
      <alignment horizontal="center" vertical="center" wrapText="1"/>
    </xf>
    <xf numFmtId="165" fontId="6" fillId="2" borderId="2" xfId="0" applyNumberFormat="1" applyFont="1" applyFill="1" applyBorder="1" applyAlignment="1">
      <alignment horizontal="center" vertical="center" wrapText="1"/>
    </xf>
    <xf numFmtId="165" fontId="6" fillId="2" borderId="4" xfId="0" applyNumberFormat="1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169" fontId="2" fillId="0" borderId="4" xfId="5" applyNumberFormat="1" applyFont="1" applyBorder="1" applyAlignment="1">
      <alignment horizontal="center" vertical="center" wrapText="1"/>
    </xf>
    <xf numFmtId="0" fontId="15" fillId="0" borderId="4" xfId="5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169" fontId="14" fillId="0" borderId="4" xfId="5" applyNumberFormat="1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/>
    </xf>
    <xf numFmtId="0" fontId="20" fillId="0" borderId="11" xfId="0" applyFont="1" applyBorder="1" applyAlignment="1">
      <alignment horizontal="left" vertical="center"/>
    </xf>
    <xf numFmtId="0" fontId="17" fillId="0" borderId="11" xfId="0" applyFont="1" applyBorder="1" applyAlignment="1">
      <alignment horizontal="left" vertical="center"/>
    </xf>
    <xf numFmtId="0" fontId="20" fillId="0" borderId="11" xfId="0" applyFont="1" applyBorder="1" applyAlignment="1">
      <alignment horizontal="left" vertical="center" wrapText="1"/>
    </xf>
    <xf numFmtId="0" fontId="13" fillId="0" borderId="11" xfId="0" applyFont="1" applyBorder="1" applyAlignment="1">
      <alignment horizontal="left" vertical="center"/>
    </xf>
    <xf numFmtId="0" fontId="20" fillId="0" borderId="11" xfId="0" applyFont="1" applyBorder="1" applyAlignment="1">
      <alignment horizontal="center" vertical="center" wrapText="1"/>
    </xf>
    <xf numFmtId="165" fontId="20" fillId="0" borderId="11" xfId="0" applyNumberFormat="1" applyFont="1" applyBorder="1" applyAlignment="1">
      <alignment horizontal="left" vertical="center"/>
    </xf>
    <xf numFmtId="0" fontId="21" fillId="0" borderId="11" xfId="0" applyFont="1" applyBorder="1" applyAlignment="1">
      <alignment horizontal="left" vertical="center"/>
    </xf>
    <xf numFmtId="0" fontId="20" fillId="0" borderId="7" xfId="0" applyFont="1" applyBorder="1" applyAlignment="1">
      <alignment horizontal="left" vertical="center"/>
    </xf>
    <xf numFmtId="0" fontId="20" fillId="0" borderId="8" xfId="0" applyFont="1" applyBorder="1" applyAlignment="1">
      <alignment horizontal="left" vertical="center"/>
    </xf>
    <xf numFmtId="0" fontId="17" fillId="0" borderId="8" xfId="0" applyFont="1" applyBorder="1" applyAlignment="1">
      <alignment horizontal="left" vertical="center"/>
    </xf>
    <xf numFmtId="0" fontId="20" fillId="0" borderId="8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/>
    </xf>
    <xf numFmtId="0" fontId="20" fillId="0" borderId="8" xfId="0" applyFont="1" applyBorder="1" applyAlignment="1">
      <alignment horizontal="center" vertical="center" wrapText="1"/>
    </xf>
    <xf numFmtId="165" fontId="20" fillId="0" borderId="8" xfId="0" applyNumberFormat="1" applyFont="1" applyBorder="1" applyAlignment="1">
      <alignment horizontal="left" vertical="center"/>
    </xf>
    <xf numFmtId="0" fontId="21" fillId="0" borderId="8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165" fontId="6" fillId="0" borderId="4" xfId="0" applyNumberFormat="1" applyFont="1" applyBorder="1" applyAlignment="1">
      <alignment horizontal="left" vertical="center"/>
    </xf>
    <xf numFmtId="0" fontId="21" fillId="0" borderId="4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169" fontId="2" fillId="0" borderId="3" xfId="5" applyNumberFormat="1" applyFont="1" applyBorder="1" applyAlignment="1">
      <alignment horizontal="center" vertical="center" wrapText="1"/>
    </xf>
    <xf numFmtId="0" fontId="20" fillId="0" borderId="4" xfId="0" applyFont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20" fillId="0" borderId="4" xfId="0" applyFont="1" applyBorder="1" applyAlignment="1">
      <alignment vertical="center" wrapText="1"/>
    </xf>
    <xf numFmtId="0" fontId="13" fillId="0" borderId="4" xfId="0" applyFont="1" applyBorder="1" applyAlignment="1">
      <alignment vertical="center"/>
    </xf>
    <xf numFmtId="0" fontId="20" fillId="0" borderId="4" xfId="0" applyFont="1" applyBorder="1" applyAlignment="1">
      <alignment horizontal="center" vertical="center" wrapText="1"/>
    </xf>
    <xf numFmtId="165" fontId="20" fillId="0" borderId="4" xfId="0" applyNumberFormat="1" applyFont="1" applyBorder="1" applyAlignment="1">
      <alignment vertical="center"/>
    </xf>
    <xf numFmtId="0" fontId="21" fillId="0" borderId="4" xfId="0" applyFont="1" applyBorder="1" applyAlignment="1">
      <alignment vertical="center"/>
    </xf>
    <xf numFmtId="0" fontId="20" fillId="0" borderId="9" xfId="0" applyFont="1" applyBorder="1" applyAlignment="1">
      <alignment horizontal="left" vertical="center"/>
    </xf>
    <xf numFmtId="0" fontId="17" fillId="0" borderId="9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/>
    </xf>
    <xf numFmtId="0" fontId="20" fillId="0" borderId="9" xfId="0" applyFont="1" applyBorder="1" applyAlignment="1">
      <alignment horizontal="center" vertical="center" wrapText="1"/>
    </xf>
    <xf numFmtId="165" fontId="20" fillId="0" borderId="9" xfId="0" applyNumberFormat="1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18" fillId="0" borderId="7" xfId="0" applyFont="1" applyBorder="1" applyAlignment="1">
      <alignment horizontal="left" vertical="center"/>
    </xf>
    <xf numFmtId="0" fontId="19" fillId="0" borderId="8" xfId="0" applyFont="1" applyBorder="1" applyAlignment="1">
      <alignment horizontal="left" vertical="center"/>
    </xf>
    <xf numFmtId="0" fontId="19" fillId="0" borderId="8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center" vertical="center" wrapText="1"/>
    </xf>
    <xf numFmtId="165" fontId="19" fillId="0" borderId="8" xfId="0" applyNumberFormat="1" applyFont="1" applyBorder="1" applyAlignment="1">
      <alignment horizontal="left" vertical="center"/>
    </xf>
    <xf numFmtId="0" fontId="28" fillId="0" borderId="8" xfId="0" applyFont="1" applyBorder="1" applyAlignment="1">
      <alignment horizontal="left" vertical="center"/>
    </xf>
    <xf numFmtId="0" fontId="19" fillId="0" borderId="7" xfId="0" applyFont="1" applyBorder="1" applyAlignment="1">
      <alignment horizontal="left" vertical="center"/>
    </xf>
    <xf numFmtId="168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4" fontId="8" fillId="0" borderId="0" xfId="0" applyNumberFormat="1" applyFont="1" applyAlignment="1">
      <alignment horizontal="left" vertical="center" wrapText="1"/>
    </xf>
    <xf numFmtId="167" fontId="22" fillId="0" borderId="0" xfId="0" applyNumberFormat="1" applyFont="1" applyAlignment="1">
      <alignment horizontal="left" vertical="center" wrapText="1"/>
    </xf>
    <xf numFmtId="14" fontId="23" fillId="0" borderId="0" xfId="0" applyNumberFormat="1" applyFont="1" applyAlignment="1">
      <alignment horizontal="left" vertical="center" wrapText="1"/>
    </xf>
    <xf numFmtId="0" fontId="10" fillId="0" borderId="0" xfId="1" applyNumberFormat="1" applyFont="1" applyAlignment="1">
      <alignment horizontal="left" vertical="center" wrapText="1"/>
    </xf>
    <xf numFmtId="0" fontId="11" fillId="0" borderId="0" xfId="1" applyNumberFormat="1" applyFont="1" applyAlignment="1">
      <alignment horizontal="left" vertical="center" wrapText="1"/>
    </xf>
    <xf numFmtId="0" fontId="12" fillId="0" borderId="0" xfId="1" applyNumberFormat="1" applyFont="1" applyBorder="1" applyAlignment="1">
      <alignment horizontal="center" vertical="center" wrapText="1"/>
    </xf>
    <xf numFmtId="14" fontId="24" fillId="0" borderId="0" xfId="0" applyNumberFormat="1" applyFont="1" applyAlignment="1">
      <alignment horizontal="left" vertical="center" wrapText="1"/>
    </xf>
    <xf numFmtId="167" fontId="25" fillId="0" borderId="0" xfId="0" applyNumberFormat="1" applyFont="1" applyAlignment="1">
      <alignment horizontal="left" vertical="center" wrapText="1"/>
    </xf>
    <xf numFmtId="14" fontId="26" fillId="0" borderId="0" xfId="0" applyNumberFormat="1" applyFont="1" applyAlignment="1">
      <alignment horizontal="left" vertical="center" wrapText="1"/>
    </xf>
    <xf numFmtId="0" fontId="5" fillId="0" borderId="0" xfId="5" applyFont="1" applyAlignment="1">
      <alignment horizontal="center" vertical="center" wrapText="1"/>
    </xf>
    <xf numFmtId="0" fontId="6" fillId="0" borderId="0" xfId="5" applyFont="1" applyAlignment="1">
      <alignment horizontal="center" vertical="center" wrapText="1"/>
    </xf>
    <xf numFmtId="165" fontId="5" fillId="0" borderId="0" xfId="5" applyNumberFormat="1" applyFont="1" applyAlignment="1">
      <alignment horizontal="center" vertical="center" wrapText="1"/>
    </xf>
    <xf numFmtId="0" fontId="21" fillId="0" borderId="0" xfId="5" applyFont="1" applyAlignment="1">
      <alignment horizontal="center" vertical="center" wrapText="1"/>
    </xf>
    <xf numFmtId="167" fontId="3" fillId="0" borderId="0" xfId="5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167" fontId="3" fillId="0" borderId="0" xfId="0" applyNumberFormat="1" applyFont="1" applyAlignment="1">
      <alignment horizontal="center" vertical="center" wrapText="1"/>
    </xf>
    <xf numFmtId="0" fontId="8" fillId="0" borderId="0" xfId="5" applyFont="1" applyAlignment="1">
      <alignment horizontal="center" vertical="center" wrapText="1"/>
    </xf>
    <xf numFmtId="165" fontId="8" fillId="0" borderId="0" xfId="5" applyNumberFormat="1" applyFont="1" applyAlignment="1">
      <alignment horizontal="center" vertical="center" wrapText="1"/>
    </xf>
    <xf numFmtId="168" fontId="9" fillId="0" borderId="0" xfId="0" applyNumberFormat="1" applyFont="1" applyAlignment="1">
      <alignment horizontal="left" vertical="center" wrapText="1"/>
    </xf>
  </cellXfs>
  <cellStyles count="7">
    <cellStyle name="Normal" xfId="0" builtinId="0"/>
    <cellStyle name="Normal 16" xfId="2" xr:uid="{00000000-0005-0000-0000-000031000000}"/>
    <cellStyle name="Style 1" xfId="3" xr:uid="{00000000-0005-0000-0000-000032000000}"/>
    <cellStyle name="Vírgula" xfId="1" builtinId="3"/>
    <cellStyle name="常规 2" xfId="4" xr:uid="{00000000-0005-0000-0000-000033000000}"/>
    <cellStyle name="常规_Sheet1" xfId="5" xr:uid="{00000000-0005-0000-0000-000034000000}"/>
    <cellStyle name="常规_Sheet1 2" xfId="6" xr:uid="{00000000-0005-0000-0000-000035000000}"/>
  </cellStyles>
  <dxfs count="0"/>
  <tableStyles count="0" defaultTableStyle="TableStyleMedium2" defaultPivotStyle="PivotStyleLight16"/>
  <colors>
    <mruColors>
      <color rgb="FFFF0000"/>
      <color rgb="FF00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180340</xdr:colOff>
      <xdr:row>10</xdr:row>
      <xdr:rowOff>208915</xdr:rowOff>
    </xdr:from>
    <xdr:to>
      <xdr:col>3</xdr:col>
      <xdr:colOff>1316990</xdr:colOff>
      <xdr:row>11</xdr:row>
      <xdr:rowOff>537210</xdr:rowOff>
    </xdr:to>
    <xdr:pic>
      <xdr:nvPicPr>
        <xdr:cNvPr id="627" name="ID_11A0F69FEB1E49618DDBBC77F7E92B2E" descr="SE49954M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71090" y="3221990"/>
          <a:ext cx="1136650" cy="1080135"/>
        </a:xfrm>
        <a:prstGeom prst="rect">
          <a:avLst/>
        </a:prstGeom>
      </xdr:spPr>
    </xdr:pic>
    <xdr:clientData/>
  </xdr:twoCellAnchor>
  <xdr:twoCellAnchor>
    <xdr:from>
      <xdr:col>3</xdr:col>
      <xdr:colOff>180340</xdr:colOff>
      <xdr:row>12</xdr:row>
      <xdr:rowOff>403860</xdr:rowOff>
    </xdr:from>
    <xdr:to>
      <xdr:col>3</xdr:col>
      <xdr:colOff>1316990</xdr:colOff>
      <xdr:row>13</xdr:row>
      <xdr:rowOff>365125</xdr:rowOff>
    </xdr:to>
    <xdr:pic>
      <xdr:nvPicPr>
        <xdr:cNvPr id="624" name="ID_C1A674AB8FD04F809609B1194135C9BD" descr="SN21833M-S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71090" y="4920615"/>
          <a:ext cx="1136650" cy="1079500"/>
        </a:xfrm>
        <a:prstGeom prst="rect">
          <a:avLst/>
        </a:prstGeom>
      </xdr:spPr>
    </xdr:pic>
    <xdr:clientData/>
  </xdr:twoCellAnchor>
  <xdr:twoCellAnchor>
    <xdr:from>
      <xdr:col>3</xdr:col>
      <xdr:colOff>180340</xdr:colOff>
      <xdr:row>14</xdr:row>
      <xdr:rowOff>124460</xdr:rowOff>
    </xdr:from>
    <xdr:to>
      <xdr:col>3</xdr:col>
      <xdr:colOff>1316990</xdr:colOff>
      <xdr:row>15</xdr:row>
      <xdr:rowOff>543560</xdr:rowOff>
    </xdr:to>
    <xdr:pic>
      <xdr:nvPicPr>
        <xdr:cNvPr id="567" name="ID_9FA4AE8D1D2A48D69D6E1AC07EAF9454" descr="SE49955M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71090" y="6521450"/>
          <a:ext cx="1136650" cy="1080135"/>
        </a:xfrm>
        <a:prstGeom prst="rect">
          <a:avLst/>
        </a:prstGeom>
      </xdr:spPr>
    </xdr:pic>
    <xdr:clientData/>
  </xdr:twoCellAnchor>
  <xdr:twoCellAnchor>
    <xdr:from>
      <xdr:col>3</xdr:col>
      <xdr:colOff>180340</xdr:colOff>
      <xdr:row>16</xdr:row>
      <xdr:rowOff>208280</xdr:rowOff>
    </xdr:from>
    <xdr:to>
      <xdr:col>3</xdr:col>
      <xdr:colOff>1316990</xdr:colOff>
      <xdr:row>17</xdr:row>
      <xdr:rowOff>538480</xdr:rowOff>
    </xdr:to>
    <xdr:pic>
      <xdr:nvPicPr>
        <xdr:cNvPr id="572" name="ID_ADD0A366A5614F3D93F753B5C7513017" descr="SN21834M-S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71090" y="7927340"/>
          <a:ext cx="1136650" cy="1079500"/>
        </a:xfrm>
        <a:prstGeom prst="rect">
          <a:avLst/>
        </a:prstGeom>
      </xdr:spPr>
    </xdr:pic>
    <xdr:clientData/>
  </xdr:twoCellAnchor>
  <xdr:twoCellAnchor>
    <xdr:from>
      <xdr:col>3</xdr:col>
      <xdr:colOff>180340</xdr:colOff>
      <xdr:row>18</xdr:row>
      <xdr:rowOff>107315</xdr:rowOff>
    </xdr:from>
    <xdr:to>
      <xdr:col>3</xdr:col>
      <xdr:colOff>1316990</xdr:colOff>
      <xdr:row>19</xdr:row>
      <xdr:rowOff>628015</xdr:rowOff>
    </xdr:to>
    <xdr:pic>
      <xdr:nvPicPr>
        <xdr:cNvPr id="633" name="ID_104D6096F1634FD095DB6AA8CCF315AE" descr="SE49953M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71090" y="9324975"/>
          <a:ext cx="1136650" cy="1079500"/>
        </a:xfrm>
        <a:prstGeom prst="rect">
          <a:avLst/>
        </a:prstGeom>
      </xdr:spPr>
    </xdr:pic>
    <xdr:clientData/>
  </xdr:twoCellAnchor>
  <xdr:twoCellAnchor>
    <xdr:from>
      <xdr:col>3</xdr:col>
      <xdr:colOff>180340</xdr:colOff>
      <xdr:row>20</xdr:row>
      <xdr:rowOff>208280</xdr:rowOff>
    </xdr:from>
    <xdr:to>
      <xdr:col>3</xdr:col>
      <xdr:colOff>1316990</xdr:colOff>
      <xdr:row>21</xdr:row>
      <xdr:rowOff>538480</xdr:rowOff>
    </xdr:to>
    <xdr:pic>
      <xdr:nvPicPr>
        <xdr:cNvPr id="650" name="ID_EEEC27C6F5624A788C5C931898C23505" descr="SN21832M-S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71090" y="10708640"/>
          <a:ext cx="1136650" cy="1079500"/>
        </a:xfrm>
        <a:prstGeom prst="rect">
          <a:avLst/>
        </a:prstGeom>
      </xdr:spPr>
    </xdr:pic>
    <xdr:clientData/>
  </xdr:twoCellAnchor>
  <xdr:twoCellAnchor>
    <xdr:from>
      <xdr:col>3</xdr:col>
      <xdr:colOff>180340</xdr:colOff>
      <xdr:row>22</xdr:row>
      <xdr:rowOff>208915</xdr:rowOff>
    </xdr:from>
    <xdr:to>
      <xdr:col>3</xdr:col>
      <xdr:colOff>1316990</xdr:colOff>
      <xdr:row>23</xdr:row>
      <xdr:rowOff>537210</xdr:rowOff>
    </xdr:to>
    <xdr:pic>
      <xdr:nvPicPr>
        <xdr:cNvPr id="637" name="ID_7C2C2A1F60EF4E259633AA0791BB2C70" descr="SE49956M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371090" y="12207875"/>
          <a:ext cx="1136650" cy="1080135"/>
        </a:xfrm>
        <a:prstGeom prst="rect">
          <a:avLst/>
        </a:prstGeom>
      </xdr:spPr>
    </xdr:pic>
    <xdr:clientData/>
  </xdr:twoCellAnchor>
  <xdr:twoCellAnchor>
    <xdr:from>
      <xdr:col>3</xdr:col>
      <xdr:colOff>180340</xdr:colOff>
      <xdr:row>24</xdr:row>
      <xdr:rowOff>208280</xdr:rowOff>
    </xdr:from>
    <xdr:to>
      <xdr:col>3</xdr:col>
      <xdr:colOff>1316990</xdr:colOff>
      <xdr:row>25</xdr:row>
      <xdr:rowOff>538480</xdr:rowOff>
    </xdr:to>
    <xdr:pic>
      <xdr:nvPicPr>
        <xdr:cNvPr id="560" name="ID_B03FB537CDC24DEBA90134D8BED1B6B2" descr="SN21835M-S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371090" y="13710920"/>
          <a:ext cx="1136650" cy="1079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M38"/>
  <sheetViews>
    <sheetView tabSelected="1" topLeftCell="A15" zoomScale="85" zoomScaleNormal="85" workbookViewId="0">
      <selection activeCell="U7" sqref="U7:X7"/>
    </sheetView>
  </sheetViews>
  <sheetFormatPr defaultColWidth="12.875" defaultRowHeight="15"/>
  <cols>
    <col min="1" max="1" width="6.125" style="5" customWidth="1"/>
    <col min="2" max="2" width="10.75" style="6" customWidth="1"/>
    <col min="3" max="3" width="11.875" style="5" customWidth="1"/>
    <col min="4" max="4" width="19.625" style="5" customWidth="1"/>
    <col min="5" max="5" width="15.875" style="7" customWidth="1"/>
    <col min="6" max="6" width="16.875" style="6" customWidth="1"/>
    <col min="7" max="7" width="14.375" style="1" customWidth="1"/>
    <col min="8" max="8" width="18.375" style="6" customWidth="1"/>
    <col min="9" max="16" width="4.125" style="6" customWidth="1"/>
    <col min="17" max="17" width="8" style="5" customWidth="1"/>
    <col min="18" max="18" width="9.875" style="8" customWidth="1"/>
    <col min="19" max="19" width="17.75" style="8" customWidth="1"/>
    <col min="20" max="21" width="14.75" style="9" customWidth="1"/>
    <col min="22" max="22" width="11.625" style="10" customWidth="1"/>
    <col min="23" max="23" width="11.625" style="11" customWidth="1"/>
    <col min="24" max="24" width="22.375" style="5" customWidth="1"/>
    <col min="25" max="172" width="12.875" style="12" customWidth="1"/>
    <col min="173" max="193" width="9" style="12" customWidth="1"/>
    <col min="194" max="194" width="6.125" style="12" customWidth="1"/>
    <col min="195" max="195" width="8.625" style="12" customWidth="1"/>
    <col min="196" max="16384" width="12.875" style="12"/>
  </cols>
  <sheetData>
    <row r="1" spans="1:26" s="1" customFormat="1" ht="18" customHeight="1">
      <c r="A1" s="131"/>
      <c r="B1" s="131"/>
      <c r="C1" s="131"/>
      <c r="D1" s="131"/>
      <c r="E1" s="131"/>
      <c r="F1" s="131"/>
      <c r="G1" s="132"/>
      <c r="H1" s="131"/>
      <c r="I1" s="131"/>
      <c r="J1" s="131"/>
      <c r="K1" s="131"/>
      <c r="L1" s="131"/>
      <c r="M1" s="131"/>
      <c r="N1" s="131"/>
      <c r="O1" s="131"/>
      <c r="P1" s="133"/>
      <c r="Q1" s="133"/>
      <c r="R1" s="134"/>
      <c r="S1" s="135"/>
      <c r="T1" s="134"/>
      <c r="U1" s="134"/>
      <c r="V1" s="131"/>
    </row>
    <row r="2" spans="1:26" s="1" customFormat="1" ht="15" customHeight="1">
      <c r="A2" s="136"/>
      <c r="B2" s="136"/>
      <c r="C2" s="136"/>
      <c r="D2" s="136"/>
      <c r="E2" s="136"/>
      <c r="F2" s="136"/>
      <c r="G2" s="137"/>
      <c r="H2" s="136"/>
      <c r="I2" s="136"/>
      <c r="J2" s="136"/>
      <c r="K2" s="136"/>
      <c r="L2" s="136"/>
      <c r="M2" s="136"/>
      <c r="N2" s="136"/>
      <c r="O2" s="136"/>
      <c r="P2" s="138"/>
      <c r="Q2" s="138"/>
      <c r="R2" s="139"/>
      <c r="S2" s="140"/>
      <c r="T2" s="139"/>
      <c r="U2" s="139"/>
      <c r="V2" s="136"/>
    </row>
    <row r="3" spans="1:26" s="1" customFormat="1" ht="13.5" customHeight="1">
      <c r="A3" s="136"/>
      <c r="B3" s="136"/>
      <c r="C3" s="136"/>
      <c r="D3" s="136"/>
      <c r="E3" s="136"/>
      <c r="F3" s="136"/>
      <c r="G3" s="137"/>
      <c r="H3" s="136"/>
      <c r="I3" s="136"/>
      <c r="J3" s="136"/>
      <c r="K3" s="136"/>
      <c r="L3" s="136"/>
      <c r="M3" s="136"/>
      <c r="N3" s="136"/>
      <c r="O3" s="136"/>
      <c r="P3" s="138"/>
      <c r="Q3" s="138"/>
      <c r="R3" s="139"/>
      <c r="S3" s="140"/>
      <c r="T3" s="139"/>
      <c r="U3" s="139"/>
      <c r="V3" s="136"/>
    </row>
    <row r="4" spans="1:26" s="1" customFormat="1" ht="20.25" customHeight="1">
      <c r="A4" s="141"/>
      <c r="B4" s="141"/>
      <c r="C4" s="141"/>
      <c r="D4" s="141"/>
      <c r="E4" s="141"/>
      <c r="F4" s="141"/>
      <c r="G4" s="132"/>
      <c r="H4" s="141"/>
      <c r="I4" s="141"/>
      <c r="J4" s="141"/>
      <c r="K4" s="141"/>
      <c r="L4" s="141"/>
      <c r="M4" s="141"/>
      <c r="N4" s="141"/>
      <c r="O4" s="141"/>
      <c r="P4" s="142"/>
      <c r="Q4" s="142"/>
      <c r="R4" s="134"/>
      <c r="S4" s="135"/>
      <c r="T4" s="134"/>
      <c r="U4" s="134"/>
      <c r="V4" s="141"/>
    </row>
    <row r="5" spans="1:26" s="1" customFormat="1" ht="21.75" customHeight="1">
      <c r="A5" s="118"/>
      <c r="B5" s="143"/>
      <c r="C5" s="118"/>
      <c r="D5" s="14"/>
      <c r="E5" s="14"/>
      <c r="G5" s="119"/>
      <c r="H5" s="119"/>
      <c r="I5" s="15"/>
      <c r="J5" s="15"/>
      <c r="K5" s="32"/>
      <c r="L5" s="32"/>
      <c r="M5" s="32"/>
      <c r="P5" s="33"/>
      <c r="Q5" s="33"/>
      <c r="R5" s="37"/>
      <c r="S5" s="36"/>
      <c r="T5" s="38"/>
      <c r="U5" s="38"/>
      <c r="V5" s="39"/>
    </row>
    <row r="6" spans="1:26" s="1" customFormat="1" ht="21.75" customHeight="1">
      <c r="A6" s="118"/>
      <c r="B6" s="118"/>
      <c r="C6" s="16"/>
      <c r="D6" s="14"/>
      <c r="E6" s="17"/>
      <c r="F6" s="13"/>
      <c r="G6" s="119"/>
      <c r="H6" s="119"/>
      <c r="I6" s="119"/>
      <c r="J6" s="119"/>
      <c r="K6" s="119"/>
      <c r="L6" s="119"/>
      <c r="M6" s="119"/>
      <c r="N6" s="119"/>
      <c r="O6" s="119"/>
      <c r="P6" s="120" t="s">
        <v>0</v>
      </c>
      <c r="Q6" s="121"/>
      <c r="R6" s="121"/>
      <c r="S6" s="40">
        <v>46162</v>
      </c>
      <c r="T6" s="41"/>
      <c r="U6" s="122"/>
      <c r="V6" s="123"/>
      <c r="W6" s="122"/>
      <c r="X6" s="124"/>
    </row>
    <row r="7" spans="1:26" s="2" customFormat="1" ht="30.95" customHeight="1">
      <c r="A7" s="125"/>
      <c r="B7" s="126"/>
      <c r="C7" s="126"/>
      <c r="D7" s="18"/>
      <c r="F7" s="127"/>
      <c r="G7" s="127"/>
      <c r="H7" s="127"/>
      <c r="I7" s="34"/>
      <c r="J7" s="34"/>
      <c r="K7" s="34"/>
      <c r="L7" s="34"/>
      <c r="M7" s="34"/>
      <c r="N7" s="34"/>
      <c r="O7" s="34"/>
      <c r="P7" s="120" t="s">
        <v>1</v>
      </c>
      <c r="Q7" s="121"/>
      <c r="R7" s="121"/>
      <c r="S7" s="40">
        <v>46198</v>
      </c>
      <c r="T7" s="42"/>
      <c r="U7" s="128"/>
      <c r="V7" s="129"/>
      <c r="W7" s="130"/>
      <c r="X7" s="128"/>
    </row>
    <row r="8" spans="1:26" s="1" customFormat="1" ht="21" customHeight="1">
      <c r="A8" s="91" t="s">
        <v>2</v>
      </c>
      <c r="B8" s="54" t="s">
        <v>3</v>
      </c>
      <c r="C8" s="54" t="s">
        <v>4</v>
      </c>
      <c r="D8" s="54" t="s">
        <v>5</v>
      </c>
      <c r="E8" s="62" t="s">
        <v>6</v>
      </c>
      <c r="F8" s="54" t="s">
        <v>7</v>
      </c>
      <c r="G8" s="54" t="s">
        <v>8</v>
      </c>
      <c r="H8" s="54" t="s">
        <v>9</v>
      </c>
      <c r="I8" s="54" t="s">
        <v>10</v>
      </c>
      <c r="J8" s="54"/>
      <c r="K8" s="54"/>
      <c r="L8" s="54"/>
      <c r="M8" s="54"/>
      <c r="N8" s="54"/>
      <c r="O8" s="54"/>
      <c r="P8" s="54"/>
      <c r="Q8" s="58" t="s">
        <v>11</v>
      </c>
      <c r="R8" s="60" t="s">
        <v>12</v>
      </c>
      <c r="S8" s="60" t="s">
        <v>13</v>
      </c>
      <c r="T8" s="54" t="s">
        <v>14</v>
      </c>
      <c r="U8" s="54" t="s">
        <v>15</v>
      </c>
      <c r="V8" s="54" t="s">
        <v>16</v>
      </c>
      <c r="W8" s="54" t="s">
        <v>17</v>
      </c>
      <c r="X8" s="56" t="s">
        <v>18</v>
      </c>
    </row>
    <row r="9" spans="1:26" s="1" customFormat="1" ht="21.95" customHeight="1">
      <c r="A9" s="92"/>
      <c r="B9" s="55"/>
      <c r="C9" s="55"/>
      <c r="D9" s="55"/>
      <c r="E9" s="63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9"/>
      <c r="R9" s="61"/>
      <c r="S9" s="61"/>
      <c r="T9" s="55"/>
      <c r="U9" s="55"/>
      <c r="V9" s="55"/>
      <c r="W9" s="55"/>
      <c r="X9" s="57"/>
    </row>
    <row r="10" spans="1:26" s="1" customFormat="1" ht="53.1" customHeight="1">
      <c r="A10" s="20" t="s">
        <v>19</v>
      </c>
      <c r="B10" s="21" t="s">
        <v>20</v>
      </c>
      <c r="C10" s="21" t="s">
        <v>21</v>
      </c>
      <c r="D10" s="21" t="s">
        <v>22</v>
      </c>
      <c r="E10" s="63"/>
      <c r="F10" s="21" t="s">
        <v>23</v>
      </c>
      <c r="G10" s="21" t="s">
        <v>24</v>
      </c>
      <c r="H10" s="21" t="s">
        <v>25</v>
      </c>
      <c r="I10" s="19">
        <v>3</v>
      </c>
      <c r="J10" s="19">
        <v>4</v>
      </c>
      <c r="K10" s="19">
        <v>5</v>
      </c>
      <c r="L10" s="19">
        <v>6</v>
      </c>
      <c r="M10" s="19">
        <v>7</v>
      </c>
      <c r="N10" s="19">
        <v>8</v>
      </c>
      <c r="O10" s="19">
        <v>9</v>
      </c>
      <c r="P10" s="19">
        <v>10</v>
      </c>
      <c r="Q10" s="43" t="s">
        <v>26</v>
      </c>
      <c r="R10" s="44" t="s">
        <v>27</v>
      </c>
      <c r="S10" s="44" t="s">
        <v>28</v>
      </c>
      <c r="T10" s="21" t="s">
        <v>29</v>
      </c>
      <c r="U10" s="21" t="s">
        <v>30</v>
      </c>
      <c r="V10" s="21" t="s">
        <v>31</v>
      </c>
      <c r="W10" s="21" t="s">
        <v>32</v>
      </c>
      <c r="X10" s="45" t="s">
        <v>33</v>
      </c>
      <c r="Z10" s="1" t="s">
        <v>34</v>
      </c>
    </row>
    <row r="11" spans="1:26" s="3" customFormat="1" ht="59.25" customHeight="1">
      <c r="A11" s="93">
        <v>1</v>
      </c>
      <c r="B11" s="67" t="s">
        <v>35</v>
      </c>
      <c r="C11" s="65" t="s">
        <v>36</v>
      </c>
      <c r="D11" s="66"/>
      <c r="E11" s="23" t="s">
        <v>37</v>
      </c>
      <c r="F11" s="24" t="s">
        <v>38</v>
      </c>
      <c r="G11" s="22" t="s">
        <v>39</v>
      </c>
      <c r="H11" s="25" t="s">
        <v>40</v>
      </c>
      <c r="I11" s="108"/>
      <c r="J11" s="108"/>
      <c r="K11" s="108"/>
      <c r="L11" s="108"/>
      <c r="M11" s="108"/>
      <c r="N11" s="108"/>
      <c r="O11" s="108"/>
      <c r="P11" s="108"/>
      <c r="Q11" s="46">
        <v>300</v>
      </c>
      <c r="R11" s="47">
        <v>0.92</v>
      </c>
      <c r="S11" s="47">
        <f>Q11*R11</f>
        <v>276</v>
      </c>
      <c r="T11" s="48">
        <v>1.17</v>
      </c>
      <c r="U11" s="48">
        <v>2.5</v>
      </c>
      <c r="V11" s="48">
        <v>1.33</v>
      </c>
      <c r="W11" s="48">
        <f>V11+U11</f>
        <v>3.83</v>
      </c>
      <c r="X11" s="49">
        <f>W11*S11+Q11*T11</f>
        <v>1408.08</v>
      </c>
      <c r="Z11" s="53">
        <v>1.4</v>
      </c>
    </row>
    <row r="12" spans="1:26" s="3" customFormat="1" ht="59.25" customHeight="1">
      <c r="A12" s="93"/>
      <c r="B12" s="67"/>
      <c r="C12" s="65"/>
      <c r="D12" s="66"/>
      <c r="E12" s="23" t="s">
        <v>37</v>
      </c>
      <c r="F12" s="24" t="s">
        <v>41</v>
      </c>
      <c r="G12" s="22" t="s">
        <v>39</v>
      </c>
      <c r="H12" s="25" t="s">
        <v>42</v>
      </c>
      <c r="I12" s="108"/>
      <c r="J12" s="108"/>
      <c r="K12" s="108"/>
      <c r="L12" s="108"/>
      <c r="M12" s="108"/>
      <c r="N12" s="108"/>
      <c r="O12" s="108"/>
      <c r="P12" s="108"/>
      <c r="Q12" s="35">
        <v>40</v>
      </c>
      <c r="R12" s="47">
        <v>0.92</v>
      </c>
      <c r="S12" s="47">
        <f t="shared" ref="S12:S26" si="0">Q12*R12</f>
        <v>36.799999999999997</v>
      </c>
      <c r="T12" s="48">
        <v>1.17</v>
      </c>
      <c r="U12" s="48">
        <v>2.5</v>
      </c>
      <c r="V12" s="48">
        <v>1.33</v>
      </c>
      <c r="W12" s="48">
        <f t="shared" ref="W12:W26" si="1">V12+U12</f>
        <v>3.83</v>
      </c>
      <c r="X12" s="49">
        <f t="shared" ref="X12:X26" si="2">W12*S12+Q12*T12</f>
        <v>187.744</v>
      </c>
      <c r="Z12" s="53">
        <v>1.4</v>
      </c>
    </row>
    <row r="13" spans="1:26" s="3" customFormat="1" ht="88.15" customHeight="1">
      <c r="A13" s="93">
        <v>2</v>
      </c>
      <c r="B13" s="68" t="s">
        <v>43</v>
      </c>
      <c r="C13" s="65" t="s">
        <v>44</v>
      </c>
      <c r="D13" s="66"/>
      <c r="E13" s="26" t="s">
        <v>37</v>
      </c>
      <c r="F13" s="24" t="s">
        <v>38</v>
      </c>
      <c r="G13" s="22" t="s">
        <v>39</v>
      </c>
      <c r="H13" s="25" t="s">
        <v>40</v>
      </c>
      <c r="I13" s="108" t="s">
        <v>45</v>
      </c>
      <c r="J13" s="108"/>
      <c r="K13" s="108"/>
      <c r="L13" s="108"/>
      <c r="M13" s="108"/>
      <c r="N13" s="108"/>
      <c r="O13" s="108"/>
      <c r="P13" s="108"/>
      <c r="Q13" s="46">
        <v>200</v>
      </c>
      <c r="R13" s="47">
        <v>1.45</v>
      </c>
      <c r="S13" s="47">
        <f t="shared" si="0"/>
        <v>290</v>
      </c>
      <c r="T13" s="48">
        <v>0.57999999999999996</v>
      </c>
      <c r="U13" s="48">
        <v>2.5</v>
      </c>
      <c r="V13" s="48">
        <v>1.27</v>
      </c>
      <c r="W13" s="48">
        <f t="shared" si="1"/>
        <v>3.77</v>
      </c>
      <c r="X13" s="49">
        <f t="shared" si="2"/>
        <v>1209.3</v>
      </c>
      <c r="Z13" s="53">
        <v>0.7</v>
      </c>
    </row>
    <row r="14" spans="1:26" s="4" customFormat="1" ht="60" customHeight="1">
      <c r="A14" s="93"/>
      <c r="B14" s="65"/>
      <c r="C14" s="65" t="s">
        <v>44</v>
      </c>
      <c r="D14" s="66"/>
      <c r="E14" s="27" t="s">
        <v>37</v>
      </c>
      <c r="F14" s="24" t="s">
        <v>41</v>
      </c>
      <c r="G14" s="22" t="s">
        <v>39</v>
      </c>
      <c r="H14" s="25" t="s">
        <v>42</v>
      </c>
      <c r="I14" s="108" t="s">
        <v>45</v>
      </c>
      <c r="J14" s="108"/>
      <c r="K14" s="108"/>
      <c r="L14" s="108"/>
      <c r="M14" s="108"/>
      <c r="N14" s="108"/>
      <c r="O14" s="108"/>
      <c r="P14" s="108"/>
      <c r="Q14" s="46">
        <v>40</v>
      </c>
      <c r="R14" s="47">
        <v>1.45</v>
      </c>
      <c r="S14" s="47">
        <f t="shared" si="0"/>
        <v>58</v>
      </c>
      <c r="T14" s="48">
        <v>0.57999999999999996</v>
      </c>
      <c r="U14" s="48">
        <v>2.5</v>
      </c>
      <c r="V14" s="48">
        <v>1.27</v>
      </c>
      <c r="W14" s="48">
        <f t="shared" si="1"/>
        <v>3.77</v>
      </c>
      <c r="X14" s="49">
        <f t="shared" si="2"/>
        <v>241.86</v>
      </c>
      <c r="Y14" s="3"/>
      <c r="Z14" s="53">
        <v>0.7</v>
      </c>
    </row>
    <row r="15" spans="1:26" s="3" customFormat="1" ht="52.15" customHeight="1">
      <c r="A15" s="93">
        <v>3</v>
      </c>
      <c r="B15" s="68" t="s">
        <v>35</v>
      </c>
      <c r="C15" s="65" t="s">
        <v>46</v>
      </c>
      <c r="D15" s="66"/>
      <c r="E15" s="23" t="s">
        <v>47</v>
      </c>
      <c r="F15" s="24" t="s">
        <v>38</v>
      </c>
      <c r="G15" s="22" t="s">
        <v>39</v>
      </c>
      <c r="H15" s="25" t="s">
        <v>40</v>
      </c>
      <c r="I15" s="108"/>
      <c r="J15" s="108"/>
      <c r="K15" s="108"/>
      <c r="L15" s="108"/>
      <c r="M15" s="108"/>
      <c r="N15" s="108"/>
      <c r="O15" s="108"/>
      <c r="P15" s="108"/>
      <c r="Q15" s="46">
        <v>500</v>
      </c>
      <c r="R15" s="47">
        <v>1.7</v>
      </c>
      <c r="S15" s="47">
        <f t="shared" si="0"/>
        <v>850</v>
      </c>
      <c r="T15" s="48">
        <v>2.38</v>
      </c>
      <c r="U15" s="48">
        <v>2.5</v>
      </c>
      <c r="V15" s="48">
        <v>0.95</v>
      </c>
      <c r="W15" s="48">
        <f t="shared" si="1"/>
        <v>3.45</v>
      </c>
      <c r="X15" s="49">
        <f t="shared" si="2"/>
        <v>4122.5</v>
      </c>
      <c r="Z15" s="53">
        <v>3.11</v>
      </c>
    </row>
    <row r="16" spans="1:26" s="3" customFormat="1" ht="52.15" customHeight="1">
      <c r="A16" s="93"/>
      <c r="B16" s="68"/>
      <c r="C16" s="65"/>
      <c r="D16" s="66"/>
      <c r="E16" s="23" t="s">
        <v>48</v>
      </c>
      <c r="F16" s="24" t="s">
        <v>41</v>
      </c>
      <c r="G16" s="22" t="s">
        <v>39</v>
      </c>
      <c r="H16" s="25" t="s">
        <v>42</v>
      </c>
      <c r="I16" s="108"/>
      <c r="J16" s="108"/>
      <c r="K16" s="108"/>
      <c r="L16" s="108"/>
      <c r="M16" s="108"/>
      <c r="N16" s="108"/>
      <c r="O16" s="108"/>
      <c r="P16" s="108"/>
      <c r="Q16" s="46">
        <v>40</v>
      </c>
      <c r="R16" s="47">
        <v>1.7</v>
      </c>
      <c r="S16" s="47">
        <f t="shared" si="0"/>
        <v>68</v>
      </c>
      <c r="T16" s="48">
        <v>2.38</v>
      </c>
      <c r="U16" s="48">
        <v>2.5</v>
      </c>
      <c r="V16" s="48">
        <v>0.95</v>
      </c>
      <c r="W16" s="48">
        <f t="shared" si="1"/>
        <v>3.45</v>
      </c>
      <c r="X16" s="49">
        <f t="shared" si="2"/>
        <v>329.8</v>
      </c>
      <c r="Z16" s="53">
        <v>3.11</v>
      </c>
    </row>
    <row r="17" spans="1:195" s="3" customFormat="1" ht="59.1" customHeight="1">
      <c r="A17" s="93">
        <v>4</v>
      </c>
      <c r="B17" s="67" t="s">
        <v>43</v>
      </c>
      <c r="C17" s="65" t="s">
        <v>49</v>
      </c>
      <c r="D17" s="66"/>
      <c r="E17" s="64" t="s">
        <v>47</v>
      </c>
      <c r="F17" s="24" t="s">
        <v>38</v>
      </c>
      <c r="G17" s="22" t="s">
        <v>39</v>
      </c>
      <c r="H17" s="25" t="s">
        <v>40</v>
      </c>
      <c r="I17" s="108" t="s">
        <v>45</v>
      </c>
      <c r="J17" s="108"/>
      <c r="K17" s="108"/>
      <c r="L17" s="108"/>
      <c r="M17" s="108"/>
      <c r="N17" s="108"/>
      <c r="O17" s="108"/>
      <c r="P17" s="108"/>
      <c r="Q17" s="46">
        <v>300</v>
      </c>
      <c r="R17" s="47">
        <v>2.1800000000000002</v>
      </c>
      <c r="S17" s="47">
        <f t="shared" si="0"/>
        <v>654</v>
      </c>
      <c r="T17" s="48">
        <v>1.19</v>
      </c>
      <c r="U17" s="48">
        <v>2.5</v>
      </c>
      <c r="V17" s="48">
        <v>1.1299999999999999</v>
      </c>
      <c r="W17" s="48">
        <f t="shared" si="1"/>
        <v>3.63</v>
      </c>
      <c r="X17" s="49">
        <f t="shared" si="2"/>
        <v>2731.02</v>
      </c>
      <c r="Z17" s="53">
        <v>1.55</v>
      </c>
    </row>
    <row r="18" spans="1:195" s="3" customFormat="1" ht="59.1" customHeight="1">
      <c r="A18" s="93"/>
      <c r="B18" s="67"/>
      <c r="C18" s="65"/>
      <c r="D18" s="66"/>
      <c r="E18" s="64"/>
      <c r="F18" s="24" t="s">
        <v>41</v>
      </c>
      <c r="G18" s="22" t="s">
        <v>39</v>
      </c>
      <c r="H18" s="25" t="s">
        <v>42</v>
      </c>
      <c r="I18" s="108" t="s">
        <v>45</v>
      </c>
      <c r="J18" s="108"/>
      <c r="K18" s="108"/>
      <c r="L18" s="108"/>
      <c r="M18" s="108"/>
      <c r="N18" s="108"/>
      <c r="O18" s="108"/>
      <c r="P18" s="108"/>
      <c r="Q18" s="46">
        <v>30</v>
      </c>
      <c r="R18" s="47">
        <v>2.1800000000000002</v>
      </c>
      <c r="S18" s="47">
        <f t="shared" si="0"/>
        <v>65.400000000000006</v>
      </c>
      <c r="T18" s="48">
        <v>1.19</v>
      </c>
      <c r="U18" s="48">
        <v>2.5</v>
      </c>
      <c r="V18" s="48">
        <v>1.1299999999999999</v>
      </c>
      <c r="W18" s="48">
        <f t="shared" si="1"/>
        <v>3.63</v>
      </c>
      <c r="X18" s="49">
        <f t="shared" si="2"/>
        <v>273.10199999999998</v>
      </c>
      <c r="Z18" s="53">
        <v>1.55</v>
      </c>
    </row>
    <row r="19" spans="1:195" s="3" customFormat="1" ht="44.1" customHeight="1">
      <c r="A19" s="93">
        <v>5</v>
      </c>
      <c r="B19" s="68" t="s">
        <v>35</v>
      </c>
      <c r="C19" s="65" t="s">
        <v>50</v>
      </c>
      <c r="D19" s="66"/>
      <c r="E19" s="23" t="s">
        <v>51</v>
      </c>
      <c r="F19" s="24" t="s">
        <v>38</v>
      </c>
      <c r="G19" s="22" t="s">
        <v>39</v>
      </c>
      <c r="H19" s="25" t="s">
        <v>40</v>
      </c>
      <c r="I19" s="108"/>
      <c r="J19" s="108"/>
      <c r="K19" s="108"/>
      <c r="L19" s="108"/>
      <c r="M19" s="108"/>
      <c r="N19" s="108"/>
      <c r="O19" s="108"/>
      <c r="P19" s="108"/>
      <c r="Q19" s="46">
        <v>500</v>
      </c>
      <c r="R19" s="47">
        <v>2.5099999999999998</v>
      </c>
      <c r="S19" s="47">
        <f t="shared" si="0"/>
        <v>1255</v>
      </c>
      <c r="T19" s="48">
        <v>4.75</v>
      </c>
      <c r="U19" s="48">
        <v>2.5</v>
      </c>
      <c r="V19" s="48">
        <v>0.32</v>
      </c>
      <c r="W19" s="48">
        <f t="shared" si="1"/>
        <v>2.82</v>
      </c>
      <c r="X19" s="49">
        <f t="shared" si="2"/>
        <v>5914.1</v>
      </c>
      <c r="Z19" s="53">
        <v>6.22</v>
      </c>
    </row>
    <row r="20" spans="1:195" s="3" customFormat="1" ht="57" customHeight="1">
      <c r="A20" s="93"/>
      <c r="B20" s="65"/>
      <c r="C20" s="65" t="s">
        <v>50</v>
      </c>
      <c r="D20" s="66"/>
      <c r="E20" s="23" t="s">
        <v>51</v>
      </c>
      <c r="F20" s="24" t="s">
        <v>41</v>
      </c>
      <c r="G20" s="22" t="s">
        <v>39</v>
      </c>
      <c r="H20" s="25" t="s">
        <v>42</v>
      </c>
      <c r="I20" s="108"/>
      <c r="J20" s="108"/>
      <c r="K20" s="108"/>
      <c r="L20" s="108"/>
      <c r="M20" s="108"/>
      <c r="N20" s="108"/>
      <c r="O20" s="108"/>
      <c r="P20" s="108"/>
      <c r="Q20" s="46">
        <v>40</v>
      </c>
      <c r="R20" s="47">
        <v>2.5099999999999998</v>
      </c>
      <c r="S20" s="47">
        <f t="shared" si="0"/>
        <v>100.4</v>
      </c>
      <c r="T20" s="48">
        <v>4.75</v>
      </c>
      <c r="U20" s="48">
        <v>2.5</v>
      </c>
      <c r="V20" s="48">
        <v>0.32</v>
      </c>
      <c r="W20" s="48">
        <f t="shared" si="1"/>
        <v>2.82</v>
      </c>
      <c r="X20" s="49">
        <f t="shared" si="2"/>
        <v>473.12799999999999</v>
      </c>
      <c r="Z20" s="53">
        <v>6.22</v>
      </c>
    </row>
    <row r="21" spans="1:195" s="3" customFormat="1" ht="59.1" customHeight="1">
      <c r="A21" s="93">
        <v>6</v>
      </c>
      <c r="B21" s="67" t="s">
        <v>43</v>
      </c>
      <c r="C21" s="65" t="s">
        <v>52</v>
      </c>
      <c r="D21" s="66"/>
      <c r="E21" s="64" t="s">
        <v>51</v>
      </c>
      <c r="F21" s="24" t="s">
        <v>38</v>
      </c>
      <c r="G21" s="22" t="s">
        <v>39</v>
      </c>
      <c r="H21" s="25" t="s">
        <v>40</v>
      </c>
      <c r="I21" s="108" t="s">
        <v>45</v>
      </c>
      <c r="J21" s="108"/>
      <c r="K21" s="108"/>
      <c r="L21" s="108"/>
      <c r="M21" s="108"/>
      <c r="N21" s="108"/>
      <c r="O21" s="108"/>
      <c r="P21" s="108"/>
      <c r="Q21" s="46">
        <v>300</v>
      </c>
      <c r="R21" s="47">
        <v>2.52</v>
      </c>
      <c r="S21" s="47">
        <f t="shared" si="0"/>
        <v>756</v>
      </c>
      <c r="T21" s="48">
        <v>2.38</v>
      </c>
      <c r="U21" s="48">
        <v>2.5</v>
      </c>
      <c r="V21" s="48">
        <v>0.91</v>
      </c>
      <c r="W21" s="48">
        <f t="shared" si="1"/>
        <v>3.41</v>
      </c>
      <c r="X21" s="49">
        <f t="shared" si="2"/>
        <v>3291.96</v>
      </c>
      <c r="Z21" s="53">
        <v>3.11</v>
      </c>
    </row>
    <row r="22" spans="1:195" s="3" customFormat="1" ht="59.1" customHeight="1">
      <c r="A22" s="93"/>
      <c r="B22" s="67"/>
      <c r="C22" s="65"/>
      <c r="D22" s="66"/>
      <c r="E22" s="64"/>
      <c r="F22" s="24" t="s">
        <v>41</v>
      </c>
      <c r="G22" s="22" t="s">
        <v>39</v>
      </c>
      <c r="H22" s="25" t="s">
        <v>42</v>
      </c>
      <c r="I22" s="108" t="s">
        <v>45</v>
      </c>
      <c r="J22" s="108"/>
      <c r="K22" s="108"/>
      <c r="L22" s="108"/>
      <c r="M22" s="108"/>
      <c r="N22" s="108"/>
      <c r="O22" s="108"/>
      <c r="P22" s="108"/>
      <c r="Q22" s="46">
        <v>40</v>
      </c>
      <c r="R22" s="47">
        <v>2.52</v>
      </c>
      <c r="S22" s="47">
        <f t="shared" si="0"/>
        <v>100.8</v>
      </c>
      <c r="T22" s="48">
        <v>2.38</v>
      </c>
      <c r="U22" s="48">
        <v>2.5</v>
      </c>
      <c r="V22" s="48">
        <v>0.91</v>
      </c>
      <c r="W22" s="48">
        <f t="shared" si="1"/>
        <v>3.41</v>
      </c>
      <c r="X22" s="49">
        <f t="shared" si="2"/>
        <v>438.928</v>
      </c>
      <c r="Z22" s="53">
        <v>3.11</v>
      </c>
    </row>
    <row r="23" spans="1:195" s="3" customFormat="1" ht="59.25" customHeight="1">
      <c r="A23" s="93">
        <v>7</v>
      </c>
      <c r="B23" s="68" t="s">
        <v>35</v>
      </c>
      <c r="C23" s="65" t="s">
        <v>53</v>
      </c>
      <c r="D23" s="66"/>
      <c r="E23" s="28" t="s">
        <v>54</v>
      </c>
      <c r="F23" s="24" t="s">
        <v>38</v>
      </c>
      <c r="G23" s="22" t="s">
        <v>39</v>
      </c>
      <c r="H23" s="25" t="s">
        <v>40</v>
      </c>
      <c r="I23" s="108"/>
      <c r="J23" s="108"/>
      <c r="K23" s="108"/>
      <c r="L23" s="108"/>
      <c r="M23" s="108"/>
      <c r="N23" s="108"/>
      <c r="O23" s="108"/>
      <c r="P23" s="108"/>
      <c r="Q23" s="46">
        <v>200</v>
      </c>
      <c r="R23" s="47">
        <v>4.5199999999999996</v>
      </c>
      <c r="S23" s="47">
        <f t="shared" si="0"/>
        <v>904</v>
      </c>
      <c r="T23" s="48">
        <v>9.5</v>
      </c>
      <c r="U23" s="48">
        <v>2.5</v>
      </c>
      <c r="V23" s="48">
        <v>0.01</v>
      </c>
      <c r="W23" s="48">
        <f t="shared" si="1"/>
        <v>2.5099999999999998</v>
      </c>
      <c r="X23" s="49">
        <f t="shared" si="2"/>
        <v>4169.04</v>
      </c>
      <c r="Z23" s="53">
        <v>12.43</v>
      </c>
    </row>
    <row r="24" spans="1:195" s="3" customFormat="1" ht="59.25" customHeight="1">
      <c r="A24" s="93"/>
      <c r="B24" s="65"/>
      <c r="C24" s="65" t="s">
        <v>53</v>
      </c>
      <c r="D24" s="66"/>
      <c r="E24" s="28" t="s">
        <v>54</v>
      </c>
      <c r="F24" s="24" t="s">
        <v>41</v>
      </c>
      <c r="G24" s="22" t="s">
        <v>39</v>
      </c>
      <c r="H24" s="25" t="s">
        <v>42</v>
      </c>
      <c r="I24" s="108"/>
      <c r="J24" s="108"/>
      <c r="K24" s="108"/>
      <c r="L24" s="108"/>
      <c r="M24" s="108"/>
      <c r="N24" s="108"/>
      <c r="O24" s="108"/>
      <c r="P24" s="108"/>
      <c r="Q24" s="46">
        <v>30</v>
      </c>
      <c r="R24" s="47">
        <v>4.5199999999999996</v>
      </c>
      <c r="S24" s="47">
        <f t="shared" si="0"/>
        <v>135.6</v>
      </c>
      <c r="T24" s="48">
        <v>9.5</v>
      </c>
      <c r="U24" s="48">
        <v>2.5</v>
      </c>
      <c r="V24" s="48">
        <v>0.01</v>
      </c>
      <c r="W24" s="48">
        <f t="shared" si="1"/>
        <v>2.5099999999999998</v>
      </c>
      <c r="X24" s="49">
        <f t="shared" si="2"/>
        <v>625.35599999999999</v>
      </c>
      <c r="Z24" s="53">
        <v>12.43</v>
      </c>
    </row>
    <row r="25" spans="1:195" s="3" customFormat="1" ht="59.1" customHeight="1">
      <c r="A25" s="93">
        <v>8</v>
      </c>
      <c r="B25" s="67" t="s">
        <v>43</v>
      </c>
      <c r="C25" s="65" t="s">
        <v>55</v>
      </c>
      <c r="D25" s="66"/>
      <c r="E25" s="64" t="s">
        <v>54</v>
      </c>
      <c r="F25" s="24" t="s">
        <v>38</v>
      </c>
      <c r="G25" s="22" t="s">
        <v>39</v>
      </c>
      <c r="H25" s="25" t="s">
        <v>40</v>
      </c>
      <c r="I25" s="108" t="s">
        <v>45</v>
      </c>
      <c r="J25" s="108"/>
      <c r="K25" s="108"/>
      <c r="L25" s="108"/>
      <c r="M25" s="108"/>
      <c r="N25" s="108"/>
      <c r="O25" s="108"/>
      <c r="P25" s="108"/>
      <c r="Q25" s="46">
        <v>80</v>
      </c>
      <c r="R25" s="47">
        <v>3.26</v>
      </c>
      <c r="S25" s="47">
        <f t="shared" si="0"/>
        <v>260.8</v>
      </c>
      <c r="T25" s="48">
        <v>4.75</v>
      </c>
      <c r="U25" s="48">
        <v>2.5</v>
      </c>
      <c r="V25" s="48">
        <v>0.62</v>
      </c>
      <c r="W25" s="48">
        <f t="shared" si="1"/>
        <v>3.12</v>
      </c>
      <c r="X25" s="49">
        <f t="shared" si="2"/>
        <v>1193.6959999999999</v>
      </c>
      <c r="Z25" s="53">
        <v>6.22</v>
      </c>
    </row>
    <row r="26" spans="1:195" s="3" customFormat="1" ht="59.1" customHeight="1">
      <c r="A26" s="93"/>
      <c r="B26" s="67" t="s">
        <v>43</v>
      </c>
      <c r="C26" s="65" t="s">
        <v>55</v>
      </c>
      <c r="D26" s="66"/>
      <c r="E26" s="64"/>
      <c r="F26" s="24" t="s">
        <v>41</v>
      </c>
      <c r="G26" s="22" t="s">
        <v>39</v>
      </c>
      <c r="H26" s="25" t="s">
        <v>42</v>
      </c>
      <c r="I26" s="108" t="s">
        <v>45</v>
      </c>
      <c r="J26" s="108"/>
      <c r="K26" s="108"/>
      <c r="L26" s="108"/>
      <c r="M26" s="108"/>
      <c r="N26" s="108"/>
      <c r="O26" s="108"/>
      <c r="P26" s="108"/>
      <c r="Q26" s="46">
        <v>30</v>
      </c>
      <c r="R26" s="47">
        <v>3.26</v>
      </c>
      <c r="S26" s="47">
        <f t="shared" si="0"/>
        <v>97.8</v>
      </c>
      <c r="T26" s="48">
        <v>4.75</v>
      </c>
      <c r="U26" s="48">
        <v>2.5</v>
      </c>
      <c r="V26" s="48">
        <v>0.62</v>
      </c>
      <c r="W26" s="48">
        <f t="shared" si="1"/>
        <v>3.12</v>
      </c>
      <c r="X26" s="49">
        <f t="shared" si="2"/>
        <v>447.63600000000002</v>
      </c>
      <c r="Z26" s="53">
        <v>6.22</v>
      </c>
    </row>
    <row r="27" spans="1:195" s="3" customFormat="1" ht="16.149999999999999" customHeight="1">
      <c r="A27" s="109" t="s">
        <v>56</v>
      </c>
      <c r="B27" s="110"/>
      <c r="C27" s="110"/>
      <c r="D27" s="29"/>
      <c r="E27" s="30"/>
      <c r="F27" s="30"/>
      <c r="G27" s="31"/>
      <c r="H27" s="29"/>
      <c r="I27" s="29"/>
      <c r="J27" s="29"/>
      <c r="K27" s="30"/>
      <c r="L27" s="30"/>
      <c r="M27" s="30"/>
      <c r="N27" s="30"/>
      <c r="O27" s="30"/>
      <c r="P27" s="30"/>
      <c r="Q27" s="29">
        <f>SUM(Q11:Q26)</f>
        <v>2670</v>
      </c>
      <c r="R27" s="50"/>
      <c r="S27" s="50">
        <f>SUM(S11:S26)</f>
        <v>5908.6</v>
      </c>
      <c r="T27" s="50"/>
      <c r="U27" s="50"/>
      <c r="V27" s="51"/>
      <c r="W27" s="51"/>
      <c r="X27" s="52">
        <f>SUM(X11:X26)</f>
        <v>27057.25</v>
      </c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2"/>
      <c r="ED27" s="12"/>
      <c r="EE27" s="12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2"/>
      <c r="EX27" s="12"/>
      <c r="EY27" s="12"/>
      <c r="EZ27" s="12"/>
      <c r="FA27" s="12"/>
      <c r="FB27" s="12"/>
      <c r="FC27" s="12"/>
      <c r="FD27" s="12"/>
      <c r="FE27" s="12"/>
      <c r="FF27" s="12"/>
      <c r="FG27" s="12"/>
      <c r="FH27" s="12"/>
      <c r="FI27" s="12"/>
      <c r="FJ27" s="12"/>
      <c r="FK27" s="12"/>
      <c r="FL27" s="12"/>
      <c r="FM27" s="12"/>
      <c r="FN27" s="12"/>
      <c r="FO27" s="12"/>
      <c r="FP27" s="12"/>
      <c r="FQ27" s="12"/>
      <c r="FR27" s="12"/>
      <c r="FS27" s="12"/>
      <c r="FT27" s="12"/>
      <c r="FU27" s="12"/>
      <c r="FV27" s="12"/>
      <c r="FW27" s="12"/>
      <c r="FX27" s="12"/>
      <c r="FY27" s="12"/>
      <c r="FZ27" s="12"/>
      <c r="GA27" s="12"/>
      <c r="GB27" s="12"/>
      <c r="GC27" s="12"/>
      <c r="GD27" s="12"/>
      <c r="GE27" s="12"/>
      <c r="GF27" s="12"/>
      <c r="GG27" s="12"/>
      <c r="GH27" s="12"/>
      <c r="GI27" s="12"/>
      <c r="GJ27" s="12"/>
      <c r="GK27" s="12"/>
      <c r="GL27" s="12"/>
      <c r="GM27" s="12"/>
    </row>
    <row r="28" spans="1:195" s="3" customFormat="1" ht="18.75">
      <c r="A28" s="111"/>
      <c r="B28" s="112"/>
      <c r="C28" s="112"/>
      <c r="D28" s="112"/>
      <c r="E28" s="112"/>
      <c r="F28" s="113"/>
      <c r="G28" s="81"/>
      <c r="H28" s="112"/>
      <c r="I28" s="112"/>
      <c r="J28" s="112"/>
      <c r="K28" s="114"/>
      <c r="L28" s="114"/>
      <c r="M28" s="114"/>
      <c r="N28" s="114"/>
      <c r="O28" s="114"/>
      <c r="P28" s="112"/>
      <c r="Q28" s="115"/>
      <c r="R28" s="112"/>
      <c r="S28" s="112"/>
      <c r="T28" s="112"/>
      <c r="U28" s="112"/>
      <c r="V28" s="116"/>
      <c r="W28" s="116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  <c r="EC28" s="12"/>
      <c r="ED28" s="12"/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12"/>
      <c r="ES28" s="12"/>
      <c r="ET28" s="12"/>
      <c r="EU28" s="12"/>
      <c r="EV28" s="12"/>
      <c r="EW28" s="12"/>
      <c r="EX28" s="12"/>
      <c r="EY28" s="12"/>
      <c r="EZ28" s="12"/>
      <c r="FA28" s="12"/>
      <c r="FB28" s="12"/>
      <c r="FC28" s="12"/>
      <c r="FD28" s="12"/>
      <c r="FE28" s="12"/>
      <c r="FF28" s="12"/>
      <c r="FG28" s="12"/>
      <c r="FH28" s="12"/>
      <c r="FI28" s="12"/>
      <c r="FJ28" s="12"/>
      <c r="FK28" s="12"/>
      <c r="FL28" s="12"/>
      <c r="FM28" s="12"/>
      <c r="FN28" s="12"/>
      <c r="FO28" s="12"/>
      <c r="FP28" s="12"/>
      <c r="FQ28" s="12"/>
      <c r="FR28" s="12"/>
      <c r="FS28" s="12"/>
      <c r="FT28" s="12"/>
      <c r="FU28" s="12"/>
      <c r="FV28" s="12"/>
      <c r="FW28" s="12"/>
      <c r="FX28" s="12"/>
      <c r="FY28" s="12"/>
      <c r="FZ28" s="12"/>
      <c r="GA28" s="12"/>
      <c r="GB28" s="12"/>
      <c r="GC28" s="12"/>
      <c r="GD28" s="12"/>
      <c r="GE28" s="12"/>
      <c r="GF28" s="12"/>
      <c r="GG28" s="12"/>
      <c r="GH28" s="12"/>
      <c r="GI28" s="12"/>
      <c r="GJ28" s="12"/>
      <c r="GK28" s="12"/>
      <c r="GL28" s="12"/>
      <c r="GM28" s="12"/>
    </row>
    <row r="29" spans="1:195" s="3" customFormat="1" ht="18">
      <c r="A29" s="117"/>
      <c r="B29" s="112"/>
      <c r="C29" s="112"/>
      <c r="D29" s="112"/>
      <c r="E29" s="112"/>
      <c r="F29" s="113"/>
      <c r="G29" s="81"/>
      <c r="H29" s="112"/>
      <c r="I29" s="112"/>
      <c r="J29" s="112"/>
      <c r="K29" s="114"/>
      <c r="L29" s="114"/>
      <c r="M29" s="114"/>
      <c r="N29" s="114"/>
      <c r="O29" s="114"/>
      <c r="P29" s="112"/>
      <c r="Q29" s="115"/>
      <c r="R29" s="112"/>
      <c r="S29" s="112"/>
      <c r="T29" s="112"/>
      <c r="U29" s="112"/>
      <c r="V29" s="116"/>
      <c r="W29" s="116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  <c r="EC29" s="12"/>
      <c r="ED29" s="12"/>
      <c r="EE29" s="12"/>
      <c r="EF29" s="12"/>
      <c r="EG29" s="12"/>
      <c r="EH29" s="12"/>
      <c r="EI29" s="12"/>
      <c r="EJ29" s="12"/>
      <c r="EK29" s="12"/>
      <c r="EL29" s="12"/>
      <c r="EM29" s="12"/>
      <c r="EN29" s="12"/>
      <c r="EO29" s="12"/>
      <c r="EP29" s="12"/>
      <c r="EQ29" s="12"/>
      <c r="ER29" s="12"/>
      <c r="ES29" s="12"/>
      <c r="ET29" s="12"/>
      <c r="EU29" s="12"/>
      <c r="EV29" s="12"/>
      <c r="EW29" s="12"/>
      <c r="EX29" s="12"/>
      <c r="EY29" s="12"/>
      <c r="EZ29" s="12"/>
      <c r="FA29" s="12"/>
      <c r="FB29" s="12"/>
      <c r="FC29" s="12"/>
      <c r="FD29" s="12"/>
      <c r="FE29" s="12"/>
      <c r="FF29" s="12"/>
      <c r="FG29" s="12"/>
      <c r="FH29" s="12"/>
      <c r="FI29" s="12"/>
      <c r="FJ29" s="12"/>
      <c r="FK29" s="12"/>
      <c r="FL29" s="12"/>
      <c r="FM29" s="12"/>
      <c r="FN29" s="12"/>
      <c r="FO29" s="12"/>
      <c r="FP29" s="12"/>
      <c r="FQ29" s="12"/>
      <c r="FR29" s="12"/>
      <c r="FS29" s="12"/>
      <c r="FT29" s="12"/>
      <c r="FU29" s="12"/>
      <c r="FV29" s="12"/>
      <c r="FW29" s="12"/>
      <c r="FX29" s="12"/>
      <c r="FY29" s="12"/>
      <c r="FZ29" s="12"/>
      <c r="GA29" s="12"/>
      <c r="GB29" s="12"/>
      <c r="GC29" s="12"/>
      <c r="GD29" s="12"/>
      <c r="GE29" s="12"/>
      <c r="GF29" s="12"/>
      <c r="GG29" s="12"/>
      <c r="GH29" s="12"/>
      <c r="GI29" s="12"/>
      <c r="GJ29" s="12"/>
      <c r="GK29" s="12"/>
      <c r="GL29" s="12"/>
      <c r="GM29" s="12"/>
    </row>
    <row r="30" spans="1:195" s="3" customFormat="1" ht="15.75">
      <c r="A30" s="94"/>
      <c r="B30" s="94"/>
      <c r="C30" s="94"/>
      <c r="D30" s="94"/>
      <c r="E30" s="95"/>
      <c r="F30" s="96"/>
      <c r="G30" s="97"/>
      <c r="H30" s="94"/>
      <c r="I30" s="94"/>
      <c r="J30" s="94"/>
      <c r="K30" s="98"/>
      <c r="L30" s="98"/>
      <c r="M30" s="98"/>
      <c r="N30" s="98"/>
      <c r="O30" s="98"/>
      <c r="P30" s="94"/>
      <c r="Q30" s="99"/>
      <c r="R30" s="94"/>
      <c r="S30" s="94"/>
      <c r="T30" s="94"/>
      <c r="U30" s="94"/>
      <c r="V30" s="100"/>
      <c r="W30" s="100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2"/>
      <c r="DM30" s="12"/>
      <c r="DN30" s="12"/>
      <c r="DO30" s="12"/>
      <c r="DP30" s="12"/>
      <c r="DQ30" s="12"/>
      <c r="DR30" s="12"/>
      <c r="DS30" s="12"/>
      <c r="DT30" s="12"/>
      <c r="DU30" s="12"/>
      <c r="DV30" s="12"/>
      <c r="DW30" s="12"/>
      <c r="DX30" s="12"/>
      <c r="DY30" s="12"/>
      <c r="DZ30" s="12"/>
      <c r="EA30" s="12"/>
      <c r="EB30" s="12"/>
      <c r="EC30" s="12"/>
      <c r="ED30" s="12"/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12"/>
      <c r="EQ30" s="12"/>
      <c r="ER30" s="12"/>
      <c r="ES30" s="12"/>
      <c r="ET30" s="12"/>
      <c r="EU30" s="12"/>
      <c r="EV30" s="12"/>
      <c r="EW30" s="12"/>
      <c r="EX30" s="12"/>
      <c r="EY30" s="12"/>
      <c r="EZ30" s="12"/>
      <c r="FA30" s="12"/>
      <c r="FB30" s="12"/>
      <c r="FC30" s="12"/>
      <c r="FD30" s="12"/>
      <c r="FE30" s="12"/>
      <c r="FF30" s="12"/>
      <c r="FG30" s="12"/>
      <c r="FH30" s="12"/>
      <c r="FI30" s="12"/>
      <c r="FJ30" s="12"/>
      <c r="FK30" s="12"/>
      <c r="FL30" s="12"/>
      <c r="FM30" s="12"/>
      <c r="FN30" s="12"/>
      <c r="FO30" s="12"/>
      <c r="FP30" s="12"/>
      <c r="FQ30" s="12"/>
      <c r="FR30" s="12"/>
      <c r="FS30" s="12"/>
      <c r="FT30" s="12"/>
      <c r="FU30" s="12"/>
      <c r="FV30" s="12"/>
      <c r="FW30" s="12"/>
      <c r="FX30" s="12"/>
      <c r="FY30" s="12"/>
      <c r="FZ30" s="12"/>
      <c r="GA30" s="12"/>
      <c r="GB30" s="12"/>
      <c r="GC30" s="12"/>
      <c r="GD30" s="12"/>
      <c r="GE30" s="12"/>
      <c r="GF30" s="12"/>
      <c r="GG30" s="12"/>
      <c r="GH30" s="12"/>
      <c r="GI30" s="12"/>
      <c r="GJ30" s="12"/>
      <c r="GK30" s="12"/>
      <c r="GL30" s="12"/>
      <c r="GM30" s="12"/>
    </row>
    <row r="31" spans="1:195" s="3" customFormat="1" ht="15.75">
      <c r="A31" s="94"/>
      <c r="B31" s="94"/>
      <c r="C31" s="94"/>
      <c r="D31" s="94"/>
      <c r="E31" s="95"/>
      <c r="F31" s="96"/>
      <c r="G31" s="97"/>
      <c r="H31" s="94"/>
      <c r="I31" s="94"/>
      <c r="J31" s="94"/>
      <c r="K31" s="98"/>
      <c r="L31" s="98"/>
      <c r="M31" s="98"/>
      <c r="N31" s="98"/>
      <c r="O31" s="98"/>
      <c r="P31" s="94"/>
      <c r="Q31" s="99"/>
      <c r="R31" s="94"/>
      <c r="S31" s="94"/>
      <c r="T31" s="94"/>
      <c r="U31" s="94"/>
      <c r="V31" s="100"/>
      <c r="W31" s="100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  <c r="EM31" s="12"/>
      <c r="EN31" s="12"/>
      <c r="EO31" s="12"/>
      <c r="EP31" s="12"/>
      <c r="EQ31" s="12"/>
      <c r="ER31" s="12"/>
      <c r="ES31" s="12"/>
      <c r="ET31" s="12"/>
      <c r="EU31" s="12"/>
      <c r="EV31" s="12"/>
      <c r="EW31" s="12"/>
      <c r="EX31" s="12"/>
      <c r="EY31" s="12"/>
      <c r="EZ31" s="12"/>
      <c r="FA31" s="12"/>
      <c r="FB31" s="12"/>
      <c r="FC31" s="12"/>
      <c r="FD31" s="12"/>
      <c r="FE31" s="12"/>
      <c r="FF31" s="12"/>
      <c r="FG31" s="12"/>
      <c r="FH31" s="12"/>
      <c r="FI31" s="12"/>
      <c r="FJ31" s="12"/>
      <c r="FK31" s="12"/>
      <c r="FL31" s="12"/>
      <c r="FM31" s="12"/>
      <c r="FN31" s="12"/>
      <c r="FO31" s="12"/>
      <c r="FP31" s="12"/>
      <c r="FQ31" s="12"/>
      <c r="FR31" s="12"/>
      <c r="FS31" s="12"/>
      <c r="FT31" s="12"/>
      <c r="FU31" s="12"/>
      <c r="FV31" s="12"/>
      <c r="FW31" s="12"/>
      <c r="FX31" s="12"/>
      <c r="FY31" s="12"/>
      <c r="FZ31" s="12"/>
      <c r="GA31" s="12"/>
      <c r="GB31" s="12"/>
      <c r="GC31" s="12"/>
      <c r="GD31" s="12"/>
      <c r="GE31" s="12"/>
      <c r="GF31" s="12"/>
      <c r="GG31" s="12"/>
      <c r="GH31" s="12"/>
      <c r="GI31" s="12"/>
      <c r="GJ31" s="12"/>
      <c r="GK31" s="12"/>
      <c r="GL31" s="12"/>
      <c r="GM31" s="12"/>
    </row>
    <row r="32" spans="1:195" s="3" customFormat="1" ht="15.75">
      <c r="A32" s="94"/>
      <c r="B32" s="94"/>
      <c r="C32" s="94"/>
      <c r="D32" s="94"/>
      <c r="E32" s="95"/>
      <c r="F32" s="96"/>
      <c r="G32" s="97"/>
      <c r="H32" s="94"/>
      <c r="I32" s="94"/>
      <c r="J32" s="94"/>
      <c r="K32" s="98"/>
      <c r="L32" s="98"/>
      <c r="M32" s="98"/>
      <c r="N32" s="98"/>
      <c r="O32" s="98"/>
      <c r="P32" s="94"/>
      <c r="Q32" s="99"/>
      <c r="R32" s="94"/>
      <c r="S32" s="94"/>
      <c r="T32" s="94"/>
      <c r="U32" s="94"/>
      <c r="V32" s="100"/>
      <c r="W32" s="100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  <c r="EM32" s="12"/>
      <c r="EN32" s="12"/>
      <c r="EO32" s="12"/>
      <c r="EP32" s="12"/>
      <c r="EQ32" s="12"/>
      <c r="ER32" s="12"/>
      <c r="ES32" s="12"/>
      <c r="ET32" s="12"/>
      <c r="EU32" s="12"/>
      <c r="EV32" s="12"/>
      <c r="EW32" s="12"/>
      <c r="EX32" s="12"/>
      <c r="EY32" s="12"/>
      <c r="EZ32" s="12"/>
      <c r="FA32" s="12"/>
      <c r="FB32" s="12"/>
      <c r="FC32" s="12"/>
      <c r="FD32" s="12"/>
      <c r="FE32" s="12"/>
      <c r="FF32" s="12"/>
      <c r="FG32" s="12"/>
      <c r="FH32" s="12"/>
      <c r="FI32" s="12"/>
      <c r="FJ32" s="12"/>
      <c r="FK32" s="12"/>
      <c r="FL32" s="12"/>
      <c r="FM32" s="12"/>
      <c r="FN32" s="12"/>
      <c r="FO32" s="12"/>
      <c r="FP32" s="12"/>
      <c r="FQ32" s="12"/>
      <c r="FR32" s="12"/>
      <c r="FS32" s="12"/>
      <c r="FT32" s="12"/>
      <c r="FU32" s="12"/>
      <c r="FV32" s="12"/>
      <c r="FW32" s="12"/>
      <c r="FX32" s="12"/>
      <c r="FY32" s="12"/>
      <c r="FZ32" s="12"/>
      <c r="GA32" s="12"/>
      <c r="GB32" s="12"/>
      <c r="GC32" s="12"/>
      <c r="GD32" s="12"/>
      <c r="GE32" s="12"/>
      <c r="GF32" s="12"/>
      <c r="GG32" s="12"/>
      <c r="GH32" s="12"/>
      <c r="GI32" s="12"/>
      <c r="GJ32" s="12"/>
      <c r="GK32" s="12"/>
      <c r="GL32" s="12"/>
      <c r="GM32" s="12"/>
    </row>
    <row r="33" spans="1:195" s="3" customFormat="1" ht="15.75">
      <c r="A33" s="101"/>
      <c r="B33" s="101"/>
      <c r="C33" s="101"/>
      <c r="D33" s="101"/>
      <c r="E33" s="102"/>
      <c r="F33" s="103"/>
      <c r="G33" s="104"/>
      <c r="H33" s="101"/>
      <c r="I33" s="101"/>
      <c r="J33" s="101"/>
      <c r="K33" s="105"/>
      <c r="L33" s="105"/>
      <c r="M33" s="105"/>
      <c r="N33" s="105"/>
      <c r="O33" s="105"/>
      <c r="P33" s="101"/>
      <c r="Q33" s="106"/>
      <c r="R33" s="101"/>
      <c r="S33" s="101"/>
      <c r="T33" s="101"/>
      <c r="U33" s="101"/>
      <c r="V33" s="107"/>
      <c r="W33" s="107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  <c r="EM33" s="12"/>
      <c r="EN33" s="12"/>
      <c r="EO33" s="12"/>
      <c r="EP33" s="12"/>
      <c r="EQ33" s="12"/>
      <c r="ER33" s="12"/>
      <c r="ES33" s="12"/>
      <c r="ET33" s="12"/>
      <c r="EU33" s="12"/>
      <c r="EV33" s="12"/>
      <c r="EW33" s="12"/>
      <c r="EX33" s="12"/>
      <c r="EY33" s="12"/>
      <c r="EZ33" s="12"/>
      <c r="FA33" s="12"/>
      <c r="FB33" s="12"/>
      <c r="FC33" s="12"/>
      <c r="FD33" s="12"/>
      <c r="FE33" s="12"/>
      <c r="FF33" s="12"/>
      <c r="FG33" s="12"/>
      <c r="FH33" s="12"/>
      <c r="FI33" s="12"/>
      <c r="FJ33" s="12"/>
      <c r="FK33" s="12"/>
      <c r="FL33" s="12"/>
      <c r="FM33" s="12"/>
      <c r="FN33" s="12"/>
      <c r="FO33" s="12"/>
      <c r="FP33" s="12"/>
      <c r="FQ33" s="12"/>
      <c r="FR33" s="12"/>
      <c r="FS33" s="12"/>
      <c r="FT33" s="12"/>
      <c r="FU33" s="12"/>
      <c r="FV33" s="12"/>
      <c r="FW33" s="12"/>
      <c r="FX33" s="12"/>
      <c r="FY33" s="12"/>
      <c r="FZ33" s="12"/>
      <c r="GA33" s="12"/>
      <c r="GB33" s="12"/>
      <c r="GC33" s="12"/>
      <c r="GD33" s="12"/>
      <c r="GE33" s="12"/>
      <c r="GF33" s="12"/>
      <c r="GG33" s="12"/>
      <c r="GH33" s="12"/>
      <c r="GI33" s="12"/>
      <c r="GJ33" s="12"/>
      <c r="GK33" s="12"/>
      <c r="GL33" s="12"/>
      <c r="GM33" s="12"/>
    </row>
    <row r="34" spans="1:195" s="3" customFormat="1" ht="15.75">
      <c r="A34" s="69"/>
      <c r="B34" s="70"/>
      <c r="C34" s="70"/>
      <c r="D34" s="70"/>
      <c r="E34" s="71"/>
      <c r="F34" s="72"/>
      <c r="G34" s="73"/>
      <c r="H34" s="70"/>
      <c r="I34" s="70"/>
      <c r="J34" s="70"/>
      <c r="K34" s="74"/>
      <c r="L34" s="74"/>
      <c r="M34" s="74"/>
      <c r="N34" s="74"/>
      <c r="O34" s="74"/>
      <c r="P34" s="70"/>
      <c r="Q34" s="75"/>
      <c r="R34" s="70"/>
      <c r="S34" s="70"/>
      <c r="T34" s="70"/>
      <c r="U34" s="70"/>
      <c r="V34" s="76"/>
      <c r="W34" s="76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2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12"/>
      <c r="DY34" s="12"/>
      <c r="DZ34" s="12"/>
      <c r="EA34" s="12"/>
      <c r="EB34" s="12"/>
      <c r="EC34" s="12"/>
      <c r="ED34" s="12"/>
      <c r="EE34" s="12"/>
      <c r="EF34" s="12"/>
      <c r="EG34" s="12"/>
      <c r="EH34" s="12"/>
      <c r="EI34" s="12"/>
      <c r="EJ34" s="12"/>
      <c r="EK34" s="12"/>
      <c r="EL34" s="12"/>
      <c r="EM34" s="12"/>
      <c r="EN34" s="12"/>
      <c r="EO34" s="12"/>
      <c r="EP34" s="12"/>
      <c r="EQ34" s="12"/>
      <c r="ER34" s="12"/>
      <c r="ES34" s="12"/>
      <c r="ET34" s="12"/>
      <c r="EU34" s="12"/>
      <c r="EV34" s="12"/>
      <c r="EW34" s="12"/>
      <c r="EX34" s="12"/>
      <c r="EY34" s="12"/>
      <c r="EZ34" s="12"/>
      <c r="FA34" s="12"/>
      <c r="FB34" s="12"/>
      <c r="FC34" s="12"/>
      <c r="FD34" s="12"/>
      <c r="FE34" s="12"/>
      <c r="FF34" s="12"/>
      <c r="FG34" s="12"/>
      <c r="FH34" s="12"/>
      <c r="FI34" s="12"/>
      <c r="FJ34" s="12"/>
      <c r="FK34" s="12"/>
      <c r="FL34" s="12"/>
      <c r="FM34" s="12"/>
      <c r="FN34" s="12"/>
      <c r="FO34" s="12"/>
      <c r="FP34" s="12"/>
      <c r="FQ34" s="12"/>
      <c r="FR34" s="12"/>
      <c r="FS34" s="12"/>
      <c r="FT34" s="12"/>
      <c r="FU34" s="12"/>
      <c r="FV34" s="12"/>
      <c r="FW34" s="12"/>
      <c r="FX34" s="12"/>
      <c r="FY34" s="12"/>
      <c r="FZ34" s="12"/>
      <c r="GA34" s="12"/>
      <c r="GB34" s="12"/>
      <c r="GC34" s="12"/>
      <c r="GD34" s="12"/>
      <c r="GE34" s="12"/>
      <c r="GF34" s="12"/>
      <c r="GG34" s="12"/>
      <c r="GH34" s="12"/>
      <c r="GI34" s="12"/>
      <c r="GJ34" s="12"/>
      <c r="GK34" s="12"/>
      <c r="GL34" s="12"/>
      <c r="GM34" s="12"/>
    </row>
    <row r="35" spans="1:195" s="3" customFormat="1" ht="15.75">
      <c r="A35" s="69"/>
      <c r="B35" s="70"/>
      <c r="C35" s="70"/>
      <c r="D35" s="70"/>
      <c r="E35" s="71"/>
      <c r="F35" s="72"/>
      <c r="G35" s="73"/>
      <c r="H35" s="70"/>
      <c r="I35" s="70"/>
      <c r="J35" s="70"/>
      <c r="K35" s="74"/>
      <c r="L35" s="74"/>
      <c r="M35" s="74"/>
      <c r="N35" s="74"/>
      <c r="O35" s="74"/>
      <c r="P35" s="70"/>
      <c r="Q35" s="75"/>
      <c r="R35" s="70"/>
      <c r="S35" s="70"/>
      <c r="T35" s="70"/>
      <c r="U35" s="70"/>
      <c r="V35" s="76"/>
      <c r="W35" s="76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2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12"/>
      <c r="DY35" s="12"/>
      <c r="DZ35" s="12"/>
      <c r="EA35" s="12"/>
      <c r="EB35" s="12"/>
      <c r="EC35" s="12"/>
      <c r="ED35" s="12"/>
      <c r="EE35" s="12"/>
      <c r="EF35" s="12"/>
      <c r="EG35" s="12"/>
      <c r="EH35" s="12"/>
      <c r="EI35" s="12"/>
      <c r="EJ35" s="12"/>
      <c r="EK35" s="12"/>
      <c r="EL35" s="12"/>
      <c r="EM35" s="12"/>
      <c r="EN35" s="12"/>
      <c r="EO35" s="12"/>
      <c r="EP35" s="12"/>
      <c r="EQ35" s="12"/>
      <c r="ER35" s="12"/>
      <c r="ES35" s="12"/>
      <c r="ET35" s="12"/>
      <c r="EU35" s="12"/>
      <c r="EV35" s="12"/>
      <c r="EW35" s="12"/>
      <c r="EX35" s="12"/>
      <c r="EY35" s="12"/>
      <c r="EZ35" s="12"/>
      <c r="FA35" s="12"/>
      <c r="FB35" s="12"/>
      <c r="FC35" s="12"/>
      <c r="FD35" s="12"/>
      <c r="FE35" s="12"/>
      <c r="FF35" s="12"/>
      <c r="FG35" s="12"/>
      <c r="FH35" s="12"/>
      <c r="FI35" s="12"/>
      <c r="FJ35" s="12"/>
      <c r="FK35" s="12"/>
      <c r="FL35" s="12"/>
      <c r="FM35" s="12"/>
      <c r="FN35" s="12"/>
      <c r="FO35" s="12"/>
      <c r="FP35" s="12"/>
      <c r="FQ35" s="12"/>
      <c r="FR35" s="12"/>
      <c r="FS35" s="12"/>
      <c r="FT35" s="12"/>
      <c r="FU35" s="12"/>
      <c r="FV35" s="12"/>
      <c r="FW35" s="12"/>
      <c r="FX35" s="12"/>
      <c r="FY35" s="12"/>
      <c r="FZ35" s="12"/>
      <c r="GA35" s="12"/>
      <c r="GB35" s="12"/>
      <c r="GC35" s="12"/>
      <c r="GD35" s="12"/>
      <c r="GE35" s="12"/>
      <c r="GF35" s="12"/>
      <c r="GG35" s="12"/>
      <c r="GH35" s="12"/>
      <c r="GI35" s="12"/>
      <c r="GJ35" s="12"/>
      <c r="GK35" s="12"/>
      <c r="GL35" s="12"/>
      <c r="GM35" s="12"/>
    </row>
    <row r="36" spans="1:195" s="3" customFormat="1" ht="15.75">
      <c r="A36" s="69"/>
      <c r="B36" s="70"/>
      <c r="C36" s="70"/>
      <c r="D36" s="70"/>
      <c r="E36" s="71"/>
      <c r="F36" s="72"/>
      <c r="G36" s="73"/>
      <c r="H36" s="70"/>
      <c r="I36" s="70"/>
      <c r="J36" s="70"/>
      <c r="K36" s="74"/>
      <c r="L36" s="74"/>
      <c r="M36" s="74"/>
      <c r="N36" s="74"/>
      <c r="O36" s="74"/>
      <c r="P36" s="70"/>
      <c r="Q36" s="75"/>
      <c r="R36" s="70"/>
      <c r="S36" s="70"/>
      <c r="T36" s="70"/>
      <c r="U36" s="70"/>
      <c r="V36" s="76"/>
      <c r="W36" s="76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2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 s="12"/>
      <c r="EF36" s="12"/>
      <c r="EG36" s="12"/>
      <c r="EH36" s="12"/>
      <c r="EI36" s="12"/>
      <c r="EJ36" s="12"/>
      <c r="EK36" s="12"/>
      <c r="EL36" s="12"/>
      <c r="EM36" s="12"/>
      <c r="EN36" s="12"/>
      <c r="EO36" s="12"/>
      <c r="EP36" s="12"/>
      <c r="EQ36" s="12"/>
      <c r="ER36" s="12"/>
      <c r="ES36" s="12"/>
      <c r="ET36" s="12"/>
      <c r="EU36" s="12"/>
      <c r="EV36" s="12"/>
      <c r="EW36" s="12"/>
      <c r="EX36" s="12"/>
      <c r="EY36" s="12"/>
      <c r="EZ36" s="12"/>
      <c r="FA36" s="12"/>
      <c r="FB36" s="12"/>
      <c r="FC36" s="12"/>
      <c r="FD36" s="12"/>
      <c r="FE36" s="12"/>
      <c r="FF36" s="12"/>
      <c r="FG36" s="12"/>
      <c r="FH36" s="12"/>
      <c r="FI36" s="12"/>
      <c r="FJ36" s="12"/>
      <c r="FK36" s="12"/>
      <c r="FL36" s="12"/>
      <c r="FM36" s="12"/>
      <c r="FN36" s="12"/>
      <c r="FO36" s="12"/>
      <c r="FP36" s="12"/>
      <c r="FQ36" s="12"/>
      <c r="FR36" s="12"/>
      <c r="FS36" s="12"/>
      <c r="FT36" s="12"/>
      <c r="FU36" s="12"/>
      <c r="FV36" s="12"/>
      <c r="FW36" s="12"/>
      <c r="FX36" s="12"/>
      <c r="FY36" s="12"/>
      <c r="FZ36" s="12"/>
      <c r="GA36" s="12"/>
      <c r="GB36" s="12"/>
      <c r="GC36" s="12"/>
      <c r="GD36" s="12"/>
      <c r="GE36" s="12"/>
      <c r="GF36" s="12"/>
      <c r="GG36" s="12"/>
      <c r="GH36" s="12"/>
      <c r="GI36" s="12"/>
      <c r="GJ36" s="12"/>
      <c r="GK36" s="12"/>
      <c r="GL36" s="12"/>
      <c r="GM36" s="12"/>
    </row>
    <row r="37" spans="1:195" s="3" customFormat="1" ht="15.75">
      <c r="A37" s="77"/>
      <c r="B37" s="78"/>
      <c r="C37" s="78"/>
      <c r="D37" s="78"/>
      <c r="E37" s="79"/>
      <c r="F37" s="80"/>
      <c r="G37" s="81"/>
      <c r="H37" s="78"/>
      <c r="I37" s="78"/>
      <c r="J37" s="78"/>
      <c r="K37" s="82"/>
      <c r="L37" s="82"/>
      <c r="M37" s="82"/>
      <c r="N37" s="82"/>
      <c r="O37" s="82"/>
      <c r="P37" s="78"/>
      <c r="Q37" s="83"/>
      <c r="R37" s="78"/>
      <c r="S37" s="78"/>
      <c r="T37" s="78"/>
      <c r="U37" s="78"/>
      <c r="V37" s="84"/>
      <c r="W37" s="84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 s="12"/>
      <c r="EF37" s="12"/>
      <c r="EG37" s="12"/>
      <c r="EH37" s="12"/>
      <c r="EI37" s="12"/>
      <c r="EJ37" s="12"/>
      <c r="EK37" s="12"/>
      <c r="EL37" s="12"/>
      <c r="EM37" s="12"/>
      <c r="EN37" s="12"/>
      <c r="EO37" s="12"/>
      <c r="EP37" s="12"/>
      <c r="EQ37" s="12"/>
      <c r="ER37" s="12"/>
      <c r="ES37" s="12"/>
      <c r="ET37" s="12"/>
      <c r="EU37" s="12"/>
      <c r="EV37" s="12"/>
      <c r="EW37" s="12"/>
      <c r="EX37" s="12"/>
      <c r="EY37" s="12"/>
      <c r="EZ37" s="12"/>
      <c r="FA37" s="12"/>
      <c r="FB37" s="12"/>
      <c r="FC37" s="12"/>
      <c r="FD37" s="12"/>
      <c r="FE37" s="12"/>
      <c r="FF37" s="12"/>
      <c r="FG37" s="12"/>
      <c r="FH37" s="12"/>
      <c r="FI37" s="12"/>
      <c r="FJ37" s="12"/>
      <c r="FK37" s="12"/>
      <c r="FL37" s="12"/>
      <c r="FM37" s="12"/>
      <c r="FN37" s="12"/>
      <c r="FO37" s="12"/>
      <c r="FP37" s="12"/>
      <c r="FQ37" s="12"/>
      <c r="FR37" s="12"/>
      <c r="FS37" s="12"/>
      <c r="FT37" s="12"/>
      <c r="FU37" s="12"/>
      <c r="FV37" s="12"/>
      <c r="FW37" s="12"/>
      <c r="FX37" s="12"/>
      <c r="FY37" s="12"/>
      <c r="FZ37" s="12"/>
      <c r="GA37" s="12"/>
      <c r="GB37" s="12"/>
      <c r="GC37" s="12"/>
      <c r="GD37" s="12"/>
      <c r="GE37" s="12"/>
      <c r="GF37" s="12"/>
      <c r="GG37" s="12"/>
      <c r="GH37" s="12"/>
      <c r="GI37" s="12"/>
      <c r="GJ37" s="12"/>
      <c r="GK37" s="12"/>
      <c r="GL37" s="12"/>
      <c r="GM37" s="12"/>
    </row>
    <row r="38" spans="1:195" s="3" customFormat="1" ht="15.75">
      <c r="A38" s="85"/>
      <c r="B38" s="85"/>
      <c r="C38" s="85"/>
      <c r="D38" s="85"/>
      <c r="E38" s="86"/>
      <c r="F38" s="87"/>
      <c r="G38" s="86"/>
      <c r="H38" s="85"/>
      <c r="I38" s="85"/>
      <c r="J38" s="85"/>
      <c r="K38" s="88"/>
      <c r="L38" s="88"/>
      <c r="M38" s="88"/>
      <c r="N38" s="88"/>
      <c r="O38" s="88"/>
      <c r="P38" s="85"/>
      <c r="Q38" s="89"/>
      <c r="R38" s="85"/>
      <c r="S38" s="85"/>
      <c r="T38" s="85"/>
      <c r="U38" s="85"/>
      <c r="V38" s="90"/>
      <c r="W38" s="90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2"/>
      <c r="DM38" s="12"/>
      <c r="DN38" s="12"/>
      <c r="DO38" s="12"/>
      <c r="DP38" s="12"/>
      <c r="DQ38" s="12"/>
      <c r="DR38" s="12"/>
      <c r="DS38" s="12"/>
      <c r="DT38" s="12"/>
      <c r="DU38" s="12"/>
      <c r="DV38" s="12"/>
      <c r="DW38" s="12"/>
      <c r="DX38" s="12"/>
      <c r="DY38" s="12"/>
      <c r="DZ38" s="12"/>
      <c r="EA38" s="12"/>
      <c r="EB38" s="12"/>
      <c r="EC38" s="12"/>
      <c r="ED38" s="12"/>
      <c r="EE38" s="12"/>
      <c r="EF38" s="12"/>
      <c r="EG38" s="12"/>
      <c r="EH38" s="12"/>
      <c r="EI38" s="12"/>
      <c r="EJ38" s="12"/>
      <c r="EK38" s="12"/>
      <c r="EL38" s="12"/>
      <c r="EM38" s="12"/>
      <c r="EN38" s="12"/>
      <c r="EO38" s="12"/>
      <c r="EP38" s="12"/>
      <c r="EQ38" s="12"/>
      <c r="ER38" s="12"/>
      <c r="ES38" s="12"/>
      <c r="ET38" s="12"/>
      <c r="EU38" s="12"/>
      <c r="EV38" s="12"/>
      <c r="EW38" s="12"/>
      <c r="EX38" s="12"/>
      <c r="EY38" s="12"/>
      <c r="EZ38" s="12"/>
      <c r="FA38" s="12"/>
      <c r="FB38" s="12"/>
      <c r="FC38" s="12"/>
      <c r="FD38" s="12"/>
      <c r="FE38" s="12"/>
      <c r="FF38" s="12"/>
      <c r="FG38" s="12"/>
      <c r="FH38" s="12"/>
      <c r="FI38" s="12"/>
      <c r="FJ38" s="12"/>
      <c r="FK38" s="12"/>
      <c r="FL38" s="12"/>
      <c r="FM38" s="12"/>
      <c r="FN38" s="12"/>
      <c r="FO38" s="12"/>
      <c r="FP38" s="12"/>
      <c r="FQ38" s="12"/>
      <c r="FR38" s="12"/>
      <c r="FS38" s="12"/>
      <c r="FT38" s="12"/>
      <c r="FU38" s="12"/>
      <c r="FV38" s="12"/>
      <c r="FW38" s="12"/>
      <c r="FX38" s="12"/>
      <c r="FY38" s="12"/>
      <c r="FZ38" s="12"/>
      <c r="GA38" s="12"/>
      <c r="GB38" s="12"/>
      <c r="GC38" s="12"/>
      <c r="GD38" s="12"/>
      <c r="GE38" s="12"/>
      <c r="GF38" s="12"/>
      <c r="GG38" s="12"/>
      <c r="GH38" s="12"/>
      <c r="GI38" s="12"/>
      <c r="GJ38" s="12"/>
      <c r="GK38" s="12"/>
      <c r="GL38" s="12"/>
      <c r="GM38" s="12"/>
    </row>
  </sheetData>
  <mergeCells count="94">
    <mergeCell ref="A1:V1"/>
    <mergeCell ref="A2:V2"/>
    <mergeCell ref="A3:V3"/>
    <mergeCell ref="A4:V4"/>
    <mergeCell ref="A5:C5"/>
    <mergeCell ref="G5:H5"/>
    <mergeCell ref="A6:B6"/>
    <mergeCell ref="G6:O6"/>
    <mergeCell ref="P6:R6"/>
    <mergeCell ref="U6:X6"/>
    <mergeCell ref="A7:C7"/>
    <mergeCell ref="F7:H7"/>
    <mergeCell ref="P7:R7"/>
    <mergeCell ref="U7:X7"/>
    <mergeCell ref="I11:P11"/>
    <mergeCell ref="I12:P12"/>
    <mergeCell ref="I13:P13"/>
    <mergeCell ref="I14:P14"/>
    <mergeCell ref="I15:P15"/>
    <mergeCell ref="I16:P16"/>
    <mergeCell ref="I17:P17"/>
    <mergeCell ref="I18:P18"/>
    <mergeCell ref="I19:P19"/>
    <mergeCell ref="I20:P20"/>
    <mergeCell ref="I21:P21"/>
    <mergeCell ref="I22:P22"/>
    <mergeCell ref="I23:P23"/>
    <mergeCell ref="I24:P24"/>
    <mergeCell ref="I25:P25"/>
    <mergeCell ref="A19:A20"/>
    <mergeCell ref="A21:A22"/>
    <mergeCell ref="A23:A24"/>
    <mergeCell ref="A25:A26"/>
    <mergeCell ref="B8:B9"/>
    <mergeCell ref="B11:B12"/>
    <mergeCell ref="B13:B14"/>
    <mergeCell ref="B15:B16"/>
    <mergeCell ref="A8:A9"/>
    <mergeCell ref="A11:A12"/>
    <mergeCell ref="A13:A14"/>
    <mergeCell ref="A15:A16"/>
    <mergeCell ref="A17:A18"/>
    <mergeCell ref="B23:B24"/>
    <mergeCell ref="B25:B26"/>
    <mergeCell ref="A36:W36"/>
    <mergeCell ref="A37:W37"/>
    <mergeCell ref="A38:W38"/>
    <mergeCell ref="A31:W31"/>
    <mergeCell ref="A32:W32"/>
    <mergeCell ref="A33:W33"/>
    <mergeCell ref="A34:W34"/>
    <mergeCell ref="A35:W35"/>
    <mergeCell ref="I26:P26"/>
    <mergeCell ref="A27:C27"/>
    <mergeCell ref="A28:W28"/>
    <mergeCell ref="A29:W29"/>
    <mergeCell ref="A30:W30"/>
    <mergeCell ref="C15:C16"/>
    <mergeCell ref="C17:C18"/>
    <mergeCell ref="B17:B18"/>
    <mergeCell ref="B19:B20"/>
    <mergeCell ref="B21:B22"/>
    <mergeCell ref="C19:C20"/>
    <mergeCell ref="C21:C22"/>
    <mergeCell ref="C23:C24"/>
    <mergeCell ref="C25:C26"/>
    <mergeCell ref="D8:D9"/>
    <mergeCell ref="D11:D12"/>
    <mergeCell ref="D13:D14"/>
    <mergeCell ref="D15:D16"/>
    <mergeCell ref="D17:D18"/>
    <mergeCell ref="D19:D20"/>
    <mergeCell ref="D21:D22"/>
    <mergeCell ref="D23:D24"/>
    <mergeCell ref="D25:D26"/>
    <mergeCell ref="C8:C9"/>
    <mergeCell ref="C11:C12"/>
    <mergeCell ref="C13:C14"/>
    <mergeCell ref="E8:E10"/>
    <mergeCell ref="E17:E18"/>
    <mergeCell ref="E21:E22"/>
    <mergeCell ref="E25:E26"/>
    <mergeCell ref="F8:F9"/>
    <mergeCell ref="G8:G9"/>
    <mergeCell ref="H8:H9"/>
    <mergeCell ref="Q8:Q9"/>
    <mergeCell ref="R8:R9"/>
    <mergeCell ref="S8:S9"/>
    <mergeCell ref="I8:P9"/>
    <mergeCell ref="T8:T9"/>
    <mergeCell ref="U8:U9"/>
    <mergeCell ref="V8:V9"/>
    <mergeCell ref="W8:W9"/>
    <mergeCell ref="X8:X9"/>
  </mergeCells>
  <pageMargins left="0" right="0" top="0" bottom="0" header="0" footer="0"/>
  <pageSetup paperSize="9" scale="54" orientation="landscape" verticalDpi="300"/>
  <headerFooter alignWithMargins="0">
    <oddFooter>&amp;C第 &amp;P 页，共 &amp;N 页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6cc0c8-0b94-4872-b236-62e63159dc7b" xsi:nil="true"/>
    <lcf76f155ced4ddcb4097134ff3c332f xmlns="d4f78d72-b29f-4f77-b3b2-b076c382d585">
      <Terms xmlns="http://schemas.microsoft.com/office/infopath/2007/PartnerControls"/>
    </lcf76f155ced4ddcb4097134ff3c332f>
    <SharedWithUsers xmlns="386cc0c8-0b94-4872-b236-62e63159dc7b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D896C61A3BD54DA4C33647D94B7559" ma:contentTypeVersion="14" ma:contentTypeDescription="Crie um novo documento." ma:contentTypeScope="" ma:versionID="d2dea4b64a1dbce682e31084b1ed15f6">
  <xsd:schema xmlns:xsd="http://www.w3.org/2001/XMLSchema" xmlns:xs="http://www.w3.org/2001/XMLSchema" xmlns:p="http://schemas.microsoft.com/office/2006/metadata/properties" xmlns:ns2="d4f78d72-b29f-4f77-b3b2-b076c382d585" xmlns:ns3="386cc0c8-0b94-4872-b236-62e63159dc7b" targetNamespace="http://schemas.microsoft.com/office/2006/metadata/properties" ma:root="true" ma:fieldsID="5a0e150cf4793b8b83bb1230d3e2a1a7" ns2:_="" ns3:_="">
    <xsd:import namespace="d4f78d72-b29f-4f77-b3b2-b076c382d585"/>
    <xsd:import namespace="386cc0c8-0b94-4872-b236-62e63159dc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78d72-b29f-4f77-b3b2-b076c382d5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8bc76d95-89ec-4c1e-8ffe-b8d471c6d1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6cc0c8-0b94-4872-b236-62e63159dc7b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fd121b6-7be0-4162-9ebe-cbbdc4b3b72f}" ma:internalName="TaxCatchAll" ma:showField="CatchAllData" ma:web="386cc0c8-0b94-4872-b236-62e63159dc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D4A7E4-64A8-4F6F-8A60-29869357F1B0}"/>
</file>

<file path=customXml/itemProps2.xml><?xml version="1.0" encoding="utf-8"?>
<ds:datastoreItem xmlns:ds="http://schemas.openxmlformats.org/officeDocument/2006/customXml" ds:itemID="{3FBE3C81-EC24-4926-9642-98388679BAE7}"/>
</file>

<file path=customXml/itemProps3.xml><?xml version="1.0" encoding="utf-8"?>
<ds:datastoreItem xmlns:ds="http://schemas.openxmlformats.org/officeDocument/2006/customXml" ds:itemID="{DB368EC5-662B-48A0-AFD2-335A974D93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rgalotti</dc:creator>
  <cp:keywords/>
  <dc:description/>
  <cp:lastModifiedBy>Luis Fernando Pires dos Santos | Operação</cp:lastModifiedBy>
  <cp:revision/>
  <dcterms:created xsi:type="dcterms:W3CDTF">2018-11-30T09:18:00Z</dcterms:created>
  <dcterms:modified xsi:type="dcterms:W3CDTF">2026-05-26T15:44:16Z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FB967B70E19B4C7B913CFB8EC155A70C_13</vt:lpwstr>
  </property>
  <property fmtid="{D5CDD505-2E9C-101B-9397-08002B2CF9AE}" pid="4" name="CalculationRule">
    <vt:i4>0</vt:i4>
  </property>
  <property fmtid="{D5CDD505-2E9C-101B-9397-08002B2CF9AE}" pid="5" name="ContentTypeId">
    <vt:lpwstr>0x01010097D896C61A3BD54DA4C33647D94B7559</vt:lpwstr>
  </property>
  <property fmtid="{D5CDD505-2E9C-101B-9397-08002B2CF9AE}" pid="6" name="Order">
    <vt:r8>7134900</vt:r8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