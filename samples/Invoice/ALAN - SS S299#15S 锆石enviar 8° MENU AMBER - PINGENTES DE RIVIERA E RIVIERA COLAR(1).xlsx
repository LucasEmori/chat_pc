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/>
  <mc:AlternateContent xmlns:mc="http://schemas.openxmlformats.org/markup-compatibility/2006">
    <mc:Choice Requires="x15">
      <x15ac:absPath xmlns:x15ac="http://schemas.microsoft.com/office/spreadsheetml/2010/11/ac" url="https://azimemoda-my.sharepoint.com/personal/renato_azime_com_br/Documents/00-Geral/Diretoria/02-Compras/01-Pedidos/202602/Aprovados Alinare/menus prontos pra confirma/"/>
    </mc:Choice>
  </mc:AlternateContent>
  <xr:revisionPtr revIDLastSave="0" documentId="8_{E4EF71C2-6DC3-4927-8B7D-C19A4D3CB8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299 (3)" sheetId="3" r:id="rId1"/>
  </sheets>
  <definedNames>
    <definedName name="_xlnm._FilterDatabase" localSheetId="0" hidden="1">'S299 (3)'!$A$10:$GL$40</definedName>
    <definedName name="_xlnm.Print_Area" localSheetId="0">'S299 (3)'!$A$1:$W$40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3" l="1"/>
  <c r="S29" i="3"/>
  <c r="Q29" i="3"/>
  <c r="W28" i="3"/>
  <c r="V28" i="3"/>
  <c r="S28" i="3"/>
  <c r="W27" i="3"/>
  <c r="V27" i="3"/>
  <c r="S27" i="3"/>
  <c r="W26" i="3"/>
  <c r="V26" i="3"/>
  <c r="S26" i="3"/>
  <c r="W25" i="3"/>
  <c r="V25" i="3"/>
  <c r="S25" i="3"/>
  <c r="W24" i="3"/>
  <c r="V24" i="3"/>
  <c r="S24" i="3"/>
  <c r="W23" i="3"/>
  <c r="V23" i="3"/>
  <c r="S23" i="3"/>
  <c r="W22" i="3"/>
  <c r="V22" i="3"/>
  <c r="S22" i="3"/>
  <c r="W21" i="3"/>
  <c r="V21" i="3"/>
  <c r="S21" i="3"/>
  <c r="W20" i="3"/>
  <c r="V20" i="3"/>
  <c r="S20" i="3"/>
  <c r="W19" i="3"/>
  <c r="V19" i="3"/>
  <c r="S19" i="3"/>
  <c r="W18" i="3"/>
  <c r="V18" i="3"/>
  <c r="S18" i="3"/>
  <c r="W17" i="3"/>
  <c r="V17" i="3"/>
  <c r="S17" i="3"/>
  <c r="W16" i="3"/>
  <c r="V16" i="3"/>
  <c r="S16" i="3"/>
  <c r="W15" i="3"/>
  <c r="V15" i="3"/>
  <c r="S15" i="3"/>
  <c r="W14" i="3"/>
  <c r="V14" i="3"/>
  <c r="S14" i="3"/>
  <c r="W13" i="3"/>
  <c r="V13" i="3"/>
  <c r="S13" i="3"/>
  <c r="W12" i="3"/>
  <c r="V12" i="3"/>
  <c r="S12" i="3"/>
  <c r="W11" i="3"/>
  <c r="V11" i="3"/>
  <c r="S11" i="3"/>
</calcChain>
</file>

<file path=xl/sharedStrings.xml><?xml version="1.0" encoding="utf-8"?>
<sst xmlns="http://schemas.openxmlformats.org/spreadsheetml/2006/main" count="123" uniqueCount="72">
  <si>
    <t>Ref.</t>
  </si>
  <si>
    <t>Dec.</t>
  </si>
  <si>
    <t>Item No.</t>
  </si>
  <si>
    <t>Pic.</t>
  </si>
  <si>
    <t>款式做法以及改版说明</t>
  </si>
  <si>
    <t>STONE COLOR</t>
  </si>
  <si>
    <t>CHINESE</t>
  </si>
  <si>
    <t>Plating</t>
  </si>
  <si>
    <r>
      <rPr>
        <b/>
        <sz val="12"/>
        <rFont val="Arial"/>
        <charset val="134"/>
      </rPr>
      <t xml:space="preserve">SIZE </t>
    </r>
    <r>
      <rPr>
        <b/>
        <sz val="12"/>
        <rFont val="宋体"/>
        <charset val="134"/>
      </rPr>
      <t>美围</t>
    </r>
  </si>
  <si>
    <t>Q'ty          (pcs)</t>
  </si>
  <si>
    <t>Unit Weight(g)</t>
  </si>
  <si>
    <t>Total WT(G)</t>
  </si>
  <si>
    <t>Silver Price   (USD/g)</t>
  </si>
  <si>
    <t>Labor Price   (USD/g)</t>
  </si>
  <si>
    <t>Price   (USD/g)</t>
  </si>
  <si>
    <t>Total               (USD)</t>
  </si>
  <si>
    <t>序号</t>
  </si>
  <si>
    <t>产品类别</t>
  </si>
  <si>
    <t>产品编号</t>
  </si>
  <si>
    <t>图片</t>
  </si>
  <si>
    <t>石头色</t>
  </si>
  <si>
    <t>石头色中文</t>
  </si>
  <si>
    <t>电镀</t>
  </si>
  <si>
    <r>
      <rPr>
        <b/>
        <sz val="12"/>
        <rFont val="宋体"/>
        <charset val="134"/>
      </rPr>
      <t>数量（</t>
    </r>
    <r>
      <rPr>
        <b/>
        <sz val="12"/>
        <rFont val="Arial"/>
        <charset val="134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</si>
  <si>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成品单重（</t>
    </r>
    <r>
      <rPr>
        <b/>
        <sz val="12"/>
        <rFont val="Arial"/>
        <charset val="134"/>
      </rPr>
      <t>g/pcs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</si>
  <si>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总重（</t>
    </r>
    <r>
      <rPr>
        <b/>
        <sz val="12"/>
        <rFont val="Arial"/>
        <charset val="134"/>
      </rPr>
      <t>g</t>
    </r>
    <r>
      <rPr>
        <b/>
        <sz val="12"/>
        <rFont val="宋体"/>
        <charset val="134"/>
      </rPr>
      <t>）</t>
    </r>
  </si>
  <si>
    <t>银价单价按克</t>
  </si>
  <si>
    <t>工费单价按克</t>
  </si>
  <si>
    <t>单价按克</t>
  </si>
  <si>
    <t>总金额</t>
  </si>
  <si>
    <t>项链</t>
  </si>
  <si>
    <t>SN07728</t>
  </si>
  <si>
    <t>all white</t>
  </si>
  <si>
    <t>白</t>
  </si>
  <si>
    <r>
      <rPr>
        <sz val="11"/>
        <rFont val="Arial"/>
        <charset val="134"/>
      </rPr>
      <t xml:space="preserve">RODHIUM PLATE </t>
    </r>
    <r>
      <rPr>
        <sz val="11"/>
        <rFont val="宋体"/>
        <charset val="134"/>
      </rPr>
      <t>镀白</t>
    </r>
  </si>
  <si>
    <t>42 cm</t>
  </si>
  <si>
    <t>SN07728-H</t>
  </si>
  <si>
    <t>very ligth yellow</t>
  </si>
  <si>
    <t>鹅黄锆</t>
  </si>
  <si>
    <t>cb01</t>
  </si>
  <si>
    <r>
      <rPr>
        <sz val="11"/>
        <rFont val="宋体"/>
        <charset val="134"/>
      </rPr>
      <t>合成石</t>
    </r>
    <r>
      <rPr>
        <sz val="11"/>
        <rFont val="Arial"/>
        <charset val="134"/>
      </rPr>
      <t>CB01</t>
    </r>
  </si>
  <si>
    <t>cb12</t>
  </si>
  <si>
    <r>
      <rPr>
        <sz val="11"/>
        <rFont val="宋体"/>
        <charset val="134"/>
      </rPr>
      <t>合成石</t>
    </r>
    <r>
      <rPr>
        <sz val="11"/>
        <rFont val="Arial"/>
        <charset val="134"/>
      </rPr>
      <t>CB12</t>
    </r>
  </si>
  <si>
    <t>BLACK CZ</t>
  </si>
  <si>
    <t>黑纳米</t>
  </si>
  <si>
    <r>
      <rPr>
        <sz val="11"/>
        <color theme="1"/>
        <rFont val="Arial"/>
        <charset val="134"/>
      </rPr>
      <t>BLACK PLATE</t>
    </r>
    <r>
      <rPr>
        <sz val="11"/>
        <color theme="1"/>
        <rFont val="宋体"/>
        <charset val="134"/>
      </rPr>
      <t>镀黑</t>
    </r>
  </si>
  <si>
    <t>tanzanite</t>
  </si>
  <si>
    <t>坦桑锆</t>
  </si>
  <si>
    <t>RUBY 3</t>
  </si>
  <si>
    <r>
      <rPr>
        <sz val="11"/>
        <color theme="1"/>
        <rFont val="Arial"/>
        <charset val="134"/>
      </rPr>
      <t>#3</t>
    </r>
    <r>
      <rPr>
        <sz val="11"/>
        <color theme="1"/>
        <rFont val="宋体"/>
        <charset val="134"/>
      </rPr>
      <t>红刚玉</t>
    </r>
  </si>
  <si>
    <t>acquamarine</t>
  </si>
  <si>
    <r>
      <rPr>
        <sz val="11"/>
        <color theme="1"/>
        <rFont val="宋体"/>
        <charset val="134"/>
      </rPr>
      <t>水兰玻</t>
    </r>
    <r>
      <rPr>
        <sz val="11"/>
        <color theme="1"/>
        <rFont val="Arial"/>
        <charset val="134"/>
      </rPr>
      <t>107</t>
    </r>
  </si>
  <si>
    <t>light pink</t>
  </si>
  <si>
    <t>粉红</t>
  </si>
  <si>
    <t>champagne</t>
  </si>
  <si>
    <t>浅香槟锆</t>
  </si>
  <si>
    <r>
      <rPr>
        <sz val="11"/>
        <rFont val="Arial"/>
        <charset val="134"/>
      </rPr>
      <t>S208  2025-03#  GP+</t>
    </r>
    <r>
      <rPr>
        <sz val="11"/>
        <rFont val="宋体"/>
        <charset val="134"/>
      </rPr>
      <t>泳漆色板</t>
    </r>
  </si>
  <si>
    <t>brown</t>
  </si>
  <si>
    <t>纳米咖啡</t>
  </si>
  <si>
    <t>white cz</t>
  </si>
  <si>
    <t>38 cm</t>
  </si>
  <si>
    <t>40CM</t>
  </si>
  <si>
    <t>WHITE CZ</t>
  </si>
  <si>
    <r>
      <rPr>
        <sz val="11"/>
        <color theme="1"/>
        <rFont val="Arial"/>
        <charset val="134"/>
      </rPr>
      <t xml:space="preserve">RODHIUM PLATE </t>
    </r>
    <r>
      <rPr>
        <sz val="11"/>
        <color theme="1"/>
        <rFont val="宋体"/>
        <charset val="134"/>
      </rPr>
      <t>镀白</t>
    </r>
  </si>
  <si>
    <t>45 cm</t>
  </si>
  <si>
    <t>SN16563-P</t>
  </si>
  <si>
    <t>吊坠</t>
  </si>
  <si>
    <t>SZ32326</t>
  </si>
  <si>
    <t>SZ32999</t>
  </si>
  <si>
    <t>PEARL AND SMALL CZ WHITE</t>
  </si>
  <si>
    <r>
      <rPr>
        <sz val="11"/>
        <rFont val="宋体"/>
        <charset val="134"/>
      </rPr>
      <t>巴洛克贝壳珠</t>
    </r>
    <r>
      <rPr>
        <sz val="11"/>
        <rFont val="Arial"/>
        <charset val="134"/>
      </rPr>
      <t>+</t>
    </r>
    <r>
      <rPr>
        <sz val="11"/>
        <rFont val="宋体"/>
        <charset val="134"/>
      </rPr>
      <t>白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</si>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</sst>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0_ "/>
    <numFmt numFmtId="166" formatCode="&quot;US$&quot;#,##0.00_);[Red]\(&quot;US$&quot;#,##0.00\)"/>
    <numFmt numFmtId="167" formatCode="&quot;US$&quot;#,##0.00;\-&quot;US$&quot;#,##0.00"/>
    <numFmt numFmtId="168" formatCode="0.00_);[Red]\(0.00\)"/>
    <numFmt numFmtId="169" formatCode="0_);[Red]\(0\)"/>
    <numFmt numFmtId="170" formatCode="yyyy/m/d;@"/>
    <numFmt numFmtId="171" formatCode="0.0_);[Red]\(0.0\)"/>
  </numFmts>
  <fonts count="33">
    <font>
      <sz val="12"/>
      <name val="宋体"/>
      <charset val="134"/>
    </font>
    <font>
      <sz val="12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sz val="12"/>
      <color rgb="FFFF0000"/>
      <name val="宋体"/>
      <charset val="134"/>
    </font>
    <font>
      <b/>
      <sz val="18"/>
      <name val="Times New Roman"/>
      <charset val="134"/>
    </font>
    <font>
      <b/>
      <sz val="12"/>
      <name val="Arial"/>
      <charset val="134"/>
    </font>
    <font>
      <b/>
      <sz val="11"/>
      <name val="Times New Roman"/>
      <charset val="134"/>
    </font>
    <font>
      <b/>
      <sz val="18"/>
      <name val="Arial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charset val="134"/>
    </font>
    <font>
      <b/>
      <sz val="12"/>
      <color rgb="FFFF0000"/>
      <name val="宋体"/>
      <charset val="134"/>
    </font>
    <font>
      <b/>
      <sz val="12"/>
      <color rgb="FFFF0000"/>
      <name val="Arial"/>
      <charset val="134"/>
    </font>
    <font>
      <sz val="11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rgb="FF000000"/>
      <name val="Arial"/>
      <charset val="134"/>
    </font>
    <font>
      <b/>
      <sz val="11"/>
      <color indexed="12"/>
      <name val="Arial"/>
      <charset val="134"/>
    </font>
    <font>
      <b/>
      <sz val="11"/>
      <color rgb="FFFF0000"/>
      <name val="Arial"/>
      <charset val="134"/>
    </font>
    <font>
      <b/>
      <sz val="14"/>
      <color rgb="FFFF0000"/>
      <name val="宋体"/>
      <charset val="134"/>
    </font>
    <font>
      <b/>
      <sz val="14"/>
      <color rgb="FFFF000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8"/>
      <name val="Arial"/>
      <charset val="134"/>
    </font>
    <font>
      <b/>
      <sz val="18"/>
      <name val="宋体"/>
      <charset val="134"/>
    </font>
    <font>
      <b/>
      <sz val="18"/>
      <color rgb="FFFF0000"/>
      <name val="宋体"/>
      <charset val="134"/>
    </font>
    <font>
      <sz val="18"/>
      <color rgb="FFFF0000"/>
      <name val="Arial"/>
      <charset val="134"/>
    </font>
    <font>
      <b/>
      <sz val="18"/>
      <color rgb="FFFF0000"/>
      <name val="Arial"/>
      <charset val="134"/>
    </font>
    <font>
      <b/>
      <sz val="10"/>
      <color rgb="FFFF0000"/>
      <name val="Arial"/>
      <charset val="134"/>
    </font>
    <font>
      <sz val="10"/>
      <color indexed="8"/>
      <name val="Arial"/>
      <charset val="134"/>
    </font>
    <font>
      <sz val="12"/>
      <name val="新細明體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>
      <alignment vertical="top"/>
    </xf>
    <xf numFmtId="164" fontId="32" fillId="0" borderId="0" applyFont="0" applyFill="0" applyBorder="0" applyAlignment="0" applyProtection="0"/>
    <xf numFmtId="0" fontId="32" fillId="0" borderId="0">
      <alignment vertical="top"/>
    </xf>
    <xf numFmtId="0" fontId="30" fillId="0" borderId="0">
      <alignment vertical="top"/>
    </xf>
    <xf numFmtId="0" fontId="32" fillId="0" borderId="0">
      <alignment vertical="center"/>
    </xf>
    <xf numFmtId="0" fontId="31" fillId="0" borderId="0"/>
    <xf numFmtId="0" fontId="30" fillId="0" borderId="0">
      <alignment vertical="top"/>
    </xf>
  </cellStyleXfs>
  <cellXfs count="165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top"/>
    </xf>
    <xf numFmtId="0" fontId="3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8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1" applyNumberFormat="1" applyFont="1" applyAlignment="1">
      <alignment horizontal="center" vertical="center" wrapText="1"/>
    </xf>
    <xf numFmtId="0" fontId="12" fillId="0" borderId="0" xfId="1" applyNumberFormat="1" applyFont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69" fontId="2" fillId="0" borderId="3" xfId="5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4" xfId="5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4" xfId="6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5" fillId="0" borderId="4" xfId="6" applyFont="1" applyBorder="1" applyAlignment="1">
      <alignment horizontal="center" vertical="center" wrapText="1"/>
    </xf>
    <xf numFmtId="0" fontId="2" fillId="0" borderId="4" xfId="6" applyFont="1" applyBorder="1" applyAlignment="1">
      <alignment horizontal="center" vertical="center" wrapText="1"/>
    </xf>
    <xf numFmtId="49" fontId="17" fillId="3" borderId="4" xfId="0" applyNumberFormat="1" applyFont="1" applyFill="1" applyBorder="1" applyAlignment="1">
      <alignment horizontal="center" vertical="center" wrapText="1" shrinkToFit="1" readingOrder="1"/>
    </xf>
    <xf numFmtId="49" fontId="17" fillId="0" borderId="4" xfId="0" applyNumberFormat="1" applyFont="1" applyBorder="1" applyAlignment="1">
      <alignment vertical="center" wrapText="1" shrinkToFit="1" readingOrder="1"/>
    </xf>
    <xf numFmtId="0" fontId="15" fillId="0" borderId="4" xfId="0" applyFont="1" applyBorder="1" applyAlignment="1">
      <alignment horizontal="center"/>
    </xf>
    <xf numFmtId="49" fontId="17" fillId="0" borderId="4" xfId="0" applyNumberFormat="1" applyFont="1" applyBorder="1" applyAlignment="1">
      <alignment horizontal="center" vertical="center" wrapText="1" shrinkToFit="1" readingOrder="1"/>
    </xf>
    <xf numFmtId="169" fontId="16" fillId="0" borderId="4" xfId="5" applyNumberFormat="1" applyFont="1" applyBorder="1" applyAlignment="1">
      <alignment horizontal="center" vertical="center" wrapText="1"/>
    </xf>
    <xf numFmtId="0" fontId="18" fillId="0" borderId="4" xfId="5" applyFont="1" applyBorder="1" applyAlignment="1">
      <alignment horizontal="center" vertical="center" wrapText="1"/>
    </xf>
    <xf numFmtId="169" fontId="2" fillId="0" borderId="4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  <xf numFmtId="171" fontId="9" fillId="2" borderId="4" xfId="0" applyNumberFormat="1" applyFont="1" applyFill="1" applyBorder="1" applyAlignment="1">
      <alignment horizontal="center" vertical="center" wrapText="1"/>
    </xf>
    <xf numFmtId="165" fontId="9" fillId="2" borderId="4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167" fontId="2" fillId="3" borderId="4" xfId="0" applyNumberFormat="1" applyFont="1" applyFill="1" applyBorder="1" applyAlignment="1">
      <alignment horizontal="center"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167" fontId="2" fillId="0" borderId="13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5" fontId="2" fillId="0" borderId="4" xfId="6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 shrinkToFit="1" readingOrder="1"/>
    </xf>
    <xf numFmtId="0" fontId="15" fillId="0" borderId="4" xfId="5" applyFont="1" applyBorder="1" applyAlignment="1">
      <alignment horizontal="center" vertical="center" wrapText="1"/>
    </xf>
    <xf numFmtId="167" fontId="15" fillId="3" borderId="4" xfId="0" applyNumberFormat="1" applyFont="1" applyFill="1" applyBorder="1" applyAlignment="1">
      <alignment horizontal="center" vertical="center" wrapText="1"/>
    </xf>
    <xf numFmtId="167" fontId="2" fillId="3" borderId="4" xfId="0" applyNumberFormat="1" applyFont="1" applyFill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 wrapText="1"/>
    </xf>
    <xf numFmtId="167" fontId="1" fillId="2" borderId="6" xfId="0" applyNumberFormat="1" applyFont="1" applyFill="1" applyBorder="1" applyAlignment="1">
      <alignment horizontal="center" vertical="center" wrapText="1"/>
    </xf>
    <xf numFmtId="167" fontId="6" fillId="2" borderId="1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171" fontId="6" fillId="2" borderId="2" xfId="0" applyNumberFormat="1" applyFont="1" applyFill="1" applyBorder="1" applyAlignment="1">
      <alignment horizontal="center" vertical="center" wrapText="1"/>
    </xf>
    <xf numFmtId="171" fontId="6" fillId="2" borderId="4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2" fillId="0" borderId="4" xfId="5" applyFont="1" applyBorder="1" applyAlignment="1">
      <alignment horizontal="center" vertical="center" wrapText="1"/>
    </xf>
    <xf numFmtId="169" fontId="2" fillId="0" borderId="4" xfId="5" applyNumberFormat="1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9" fontId="2" fillId="0" borderId="3" xfId="5" applyNumberFormat="1" applyFont="1" applyBorder="1" applyAlignment="1">
      <alignment horizontal="center" vertical="center" wrapText="1"/>
    </xf>
    <xf numFmtId="169" fontId="14" fillId="0" borderId="4" xfId="5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horizontal="center" vertical="center" wrapText="1"/>
    </xf>
    <xf numFmtId="165" fontId="22" fillId="0" borderId="11" xfId="0" applyNumberFormat="1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 wrapText="1"/>
    </xf>
    <xf numFmtId="165" fontId="22" fillId="0" borderId="8" xfId="0" applyNumberFormat="1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 wrapText="1"/>
    </xf>
    <xf numFmtId="165" fontId="21" fillId="0" borderId="8" xfId="0" applyNumberFormat="1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2" fillId="0" borderId="4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22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22" fillId="0" borderId="4" xfId="0" applyFont="1" applyBorder="1" applyAlignment="1">
      <alignment horizontal="center" vertical="center" wrapText="1"/>
    </xf>
    <xf numFmtId="165" fontId="22" fillId="0" borderId="4" xfId="0" applyNumberFormat="1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2" fillId="0" borderId="9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22" fillId="0" borderId="9" xfId="0" applyFont="1" applyBorder="1" applyAlignment="1">
      <alignment horizontal="center" vertical="center" wrapText="1"/>
    </xf>
    <xf numFmtId="165" fontId="22" fillId="0" borderId="9" xfId="0" applyNumberFormat="1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67" fontId="24" fillId="0" borderId="0" xfId="0" applyNumberFormat="1" applyFont="1" applyAlignment="1">
      <alignment horizontal="left" vertical="center" wrapText="1"/>
    </xf>
    <xf numFmtId="14" fontId="25" fillId="0" borderId="0" xfId="0" applyNumberFormat="1" applyFont="1" applyAlignment="1">
      <alignment horizontal="left" vertical="center" wrapText="1"/>
    </xf>
    <xf numFmtId="0" fontId="10" fillId="0" borderId="0" xfId="1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left" vertical="center" wrapText="1"/>
    </xf>
    <xf numFmtId="0" fontId="12" fillId="0" borderId="0" xfId="1" applyNumberFormat="1" applyFont="1" applyBorder="1" applyAlignment="1">
      <alignment horizontal="center" vertical="center" wrapText="1"/>
    </xf>
    <xf numFmtId="0" fontId="12" fillId="0" borderId="0" xfId="1" applyNumberFormat="1" applyFont="1" applyBorder="1" applyAlignment="1">
      <alignment vertical="center" wrapText="1"/>
    </xf>
    <xf numFmtId="14" fontId="26" fillId="0" borderId="0" xfId="0" applyNumberFormat="1" applyFont="1" applyAlignment="1">
      <alignment horizontal="left" vertical="center" wrapText="1"/>
    </xf>
    <xf numFmtId="167" fontId="27" fillId="0" borderId="0" xfId="0" applyNumberFormat="1" applyFont="1" applyAlignment="1">
      <alignment horizontal="left" vertical="center" wrapText="1"/>
    </xf>
    <xf numFmtId="14" fontId="28" fillId="0" borderId="0" xfId="0" applyNumberFormat="1" applyFont="1" applyAlignment="1">
      <alignment horizontal="left" vertical="center" wrapText="1"/>
    </xf>
    <xf numFmtId="0" fontId="5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165" fontId="5" fillId="0" borderId="0" xfId="5" applyNumberFormat="1" applyFont="1" applyAlignment="1">
      <alignment horizontal="center" vertical="center" wrapText="1"/>
    </xf>
    <xf numFmtId="0" fontId="23" fillId="0" borderId="0" xfId="5" applyFont="1" applyAlignment="1">
      <alignment horizontal="center" vertical="center" wrapText="1"/>
    </xf>
    <xf numFmtId="167" fontId="3" fillId="0" borderId="0" xfId="5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165" fontId="8" fillId="0" borderId="0" xfId="5" applyNumberFormat="1" applyFont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 wrapText="1"/>
    </xf>
  </cellXfs>
  <cellStyles count="7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  <cellStyle name="常规_Sheet1 2" xfId="6" xr:uid="{00000000-0005-0000-0000-000035000000}"/>
  </cellStyles>
  <dxfs count="2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FFFF0000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52705</xdr:colOff>
      <xdr:row>25</xdr:row>
      <xdr:rowOff>84455</xdr:rowOff>
    </xdr:from>
    <xdr:to>
      <xdr:col>3</xdr:col>
      <xdr:colOff>1227455</xdr:colOff>
      <xdr:row>25</xdr:row>
      <xdr:rowOff>1260475</xdr:rowOff>
    </xdr:to>
    <xdr:pic>
      <xdr:nvPicPr>
        <xdr:cNvPr id="2" name="ID_07B5A00B1886432F862DCA4D1D24929B" descr="SN16563-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3455" y="13765530"/>
          <a:ext cx="1174750" cy="1176020"/>
        </a:xfrm>
        <a:prstGeom prst="rect">
          <a:avLst/>
        </a:prstGeom>
      </xdr:spPr>
    </xdr:pic>
    <xdr:clientData/>
  </xdr:twoCellAnchor>
  <xdr:twoCellAnchor editAs="oneCell">
    <xdr:from>
      <xdr:col>3</xdr:col>
      <xdr:colOff>449580</xdr:colOff>
      <xdr:row>17</xdr:row>
      <xdr:rowOff>248920</xdr:rowOff>
    </xdr:from>
    <xdr:to>
      <xdr:col>3</xdr:col>
      <xdr:colOff>1048385</xdr:colOff>
      <xdr:row>18</xdr:row>
      <xdr:rowOff>155575</xdr:rowOff>
    </xdr:to>
    <xdr:pic>
      <xdr:nvPicPr>
        <xdr:cNvPr id="1504" name="ID_E2A7F5B5712443D9A9FD4CD365DF6E0F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0330" y="8240395"/>
          <a:ext cx="598805" cy="617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287020</xdr:colOff>
      <xdr:row>26</xdr:row>
      <xdr:rowOff>96520</xdr:rowOff>
    </xdr:from>
    <xdr:to>
      <xdr:col>3</xdr:col>
      <xdr:colOff>1210945</xdr:colOff>
      <xdr:row>26</xdr:row>
      <xdr:rowOff>1019810</xdr:rowOff>
    </xdr:to>
    <xdr:pic>
      <xdr:nvPicPr>
        <xdr:cNvPr id="501" name="ID_AAF3E5982B434C8D96A292FBA65DC054" descr="SZ32326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7770" y="15072995"/>
          <a:ext cx="923925" cy="923290"/>
        </a:xfrm>
        <a:prstGeom prst="rect">
          <a:avLst/>
        </a:prstGeom>
      </xdr:spPr>
    </xdr:pic>
    <xdr:clientData/>
  </xdr:twoCellAnchor>
  <xdr:twoCellAnchor editAs="oneCell">
    <xdr:from>
      <xdr:col>3</xdr:col>
      <xdr:colOff>287020</xdr:colOff>
      <xdr:row>27</xdr:row>
      <xdr:rowOff>320675</xdr:rowOff>
    </xdr:from>
    <xdr:to>
      <xdr:col>3</xdr:col>
      <xdr:colOff>1210945</xdr:colOff>
      <xdr:row>27</xdr:row>
      <xdr:rowOff>1243965</xdr:rowOff>
    </xdr:to>
    <xdr:pic>
      <xdr:nvPicPr>
        <xdr:cNvPr id="511" name="ID_7B7022AA8424486D909B843AE5B7C1CD" descr="SZ32999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7770" y="16402050"/>
          <a:ext cx="923925" cy="923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40"/>
  <sheetViews>
    <sheetView tabSelected="1" zoomScale="85" zoomScaleNormal="85" workbookViewId="0">
      <selection activeCell="C12" sqref="C12"/>
    </sheetView>
  </sheetViews>
  <sheetFormatPr defaultColWidth="12.875" defaultRowHeight="15"/>
  <cols>
    <col min="1" max="1" width="6.125" style="7" customWidth="1"/>
    <col min="2" max="2" width="10.75" style="8" customWidth="1"/>
    <col min="3" max="3" width="11.875" style="7" customWidth="1"/>
    <col min="4" max="4" width="19.625" style="7" customWidth="1"/>
    <col min="5" max="5" width="15.875" style="9" customWidth="1"/>
    <col min="6" max="6" width="16.875" style="8" customWidth="1"/>
    <col min="7" max="7" width="14.375" style="1" customWidth="1"/>
    <col min="8" max="8" width="18.375" style="8" customWidth="1"/>
    <col min="9" max="16" width="4.125" style="8" customWidth="1"/>
    <col min="17" max="17" width="8" style="7" customWidth="1"/>
    <col min="18" max="18" width="9.875" style="10" customWidth="1"/>
    <col min="19" max="19" width="17.75" style="10" customWidth="1"/>
    <col min="20" max="20" width="14.75" style="11" customWidth="1"/>
    <col min="21" max="21" width="11.625" style="12" customWidth="1"/>
    <col min="22" max="22" width="11.625" style="13" customWidth="1"/>
    <col min="23" max="23" width="22.375" style="7" customWidth="1"/>
    <col min="24" max="171" width="12.875" style="14" customWidth="1"/>
    <col min="172" max="192" width="9" style="14" customWidth="1"/>
    <col min="193" max="193" width="6.125" style="14" customWidth="1"/>
    <col min="194" max="194" width="8.625" style="14" customWidth="1"/>
    <col min="195" max="16384" width="12.875" style="14"/>
  </cols>
  <sheetData>
    <row r="1" spans="1:23" s="1" customFormat="1" ht="18" customHeight="1">
      <c r="A1" s="152"/>
      <c r="B1" s="152"/>
      <c r="C1" s="152"/>
      <c r="D1" s="152"/>
      <c r="E1" s="152"/>
      <c r="F1" s="152"/>
      <c r="G1" s="153"/>
      <c r="H1" s="152"/>
      <c r="I1" s="152"/>
      <c r="J1" s="152"/>
      <c r="K1" s="152"/>
      <c r="L1" s="152"/>
      <c r="M1" s="152"/>
      <c r="N1" s="152"/>
      <c r="O1" s="152"/>
      <c r="P1" s="154"/>
      <c r="Q1" s="154"/>
      <c r="R1" s="155"/>
      <c r="S1" s="156"/>
      <c r="T1" s="155"/>
      <c r="U1" s="152"/>
    </row>
    <row r="2" spans="1:23" s="1" customFormat="1" ht="15" customHeight="1">
      <c r="A2" s="157"/>
      <c r="B2" s="157"/>
      <c r="C2" s="157"/>
      <c r="D2" s="157"/>
      <c r="E2" s="157"/>
      <c r="F2" s="157"/>
      <c r="G2" s="158"/>
      <c r="H2" s="157"/>
      <c r="I2" s="157"/>
      <c r="J2" s="157"/>
      <c r="K2" s="157"/>
      <c r="L2" s="157"/>
      <c r="M2" s="157"/>
      <c r="N2" s="157"/>
      <c r="O2" s="157"/>
      <c r="P2" s="159"/>
      <c r="Q2" s="159"/>
      <c r="R2" s="160"/>
      <c r="S2" s="161"/>
      <c r="T2" s="160"/>
      <c r="U2" s="157"/>
    </row>
    <row r="3" spans="1:23" s="1" customFormat="1" ht="13.5" customHeight="1">
      <c r="A3" s="157"/>
      <c r="B3" s="157"/>
      <c r="C3" s="157"/>
      <c r="D3" s="157"/>
      <c r="E3" s="157"/>
      <c r="F3" s="157"/>
      <c r="G3" s="158"/>
      <c r="H3" s="157"/>
      <c r="I3" s="157"/>
      <c r="J3" s="157"/>
      <c r="K3" s="157"/>
      <c r="L3" s="157"/>
      <c r="M3" s="157"/>
      <c r="N3" s="157"/>
      <c r="O3" s="157"/>
      <c r="P3" s="159"/>
      <c r="Q3" s="159"/>
      <c r="R3" s="160"/>
      <c r="S3" s="161"/>
      <c r="T3" s="160"/>
      <c r="U3" s="157"/>
    </row>
    <row r="4" spans="1:23" s="1" customFormat="1" ht="20.25" customHeight="1">
      <c r="A4" s="162"/>
      <c r="B4" s="162"/>
      <c r="C4" s="162"/>
      <c r="D4" s="162"/>
      <c r="E4" s="162"/>
      <c r="F4" s="162"/>
      <c r="G4" s="153"/>
      <c r="H4" s="162"/>
      <c r="I4" s="162"/>
      <c r="J4" s="162"/>
      <c r="K4" s="162"/>
      <c r="L4" s="162"/>
      <c r="M4" s="162"/>
      <c r="N4" s="162"/>
      <c r="O4" s="162"/>
      <c r="P4" s="163"/>
      <c r="Q4" s="163"/>
      <c r="R4" s="155"/>
      <c r="S4" s="156"/>
      <c r="T4" s="155"/>
      <c r="U4" s="162"/>
    </row>
    <row r="5" spans="1:23" s="1" customFormat="1" ht="21.75" customHeight="1">
      <c r="A5" s="138"/>
      <c r="B5" s="164"/>
      <c r="C5" s="138"/>
      <c r="D5" s="16"/>
      <c r="E5" s="16"/>
      <c r="G5" s="139"/>
      <c r="H5" s="139"/>
      <c r="I5" s="17"/>
      <c r="J5" s="17"/>
      <c r="K5" s="48"/>
      <c r="L5" s="48"/>
      <c r="M5" s="48"/>
      <c r="P5" s="49"/>
      <c r="Q5" s="49"/>
      <c r="R5" s="51"/>
      <c r="S5" s="50"/>
      <c r="T5" s="52"/>
      <c r="U5" s="53"/>
    </row>
    <row r="6" spans="1:23" s="1" customFormat="1" ht="21.75" customHeight="1">
      <c r="A6" s="138"/>
      <c r="B6" s="138"/>
      <c r="C6" s="18"/>
      <c r="D6" s="16"/>
      <c r="E6" s="19"/>
      <c r="F6" s="15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41"/>
      <c r="R6" s="141"/>
      <c r="S6" s="54"/>
      <c r="T6" s="142"/>
      <c r="U6" s="143"/>
      <c r="V6" s="142"/>
      <c r="W6" s="144"/>
    </row>
    <row r="7" spans="1:23" s="2" customFormat="1" ht="30.95" customHeight="1">
      <c r="A7" s="145"/>
      <c r="B7" s="146"/>
      <c r="C7" s="146"/>
      <c r="D7" s="20"/>
      <c r="F7" s="21"/>
      <c r="G7" s="147"/>
      <c r="H7" s="148"/>
      <c r="I7" s="21"/>
      <c r="J7" s="21"/>
      <c r="K7" s="21"/>
      <c r="L7" s="21"/>
      <c r="M7" s="21"/>
      <c r="N7" s="21"/>
      <c r="O7" s="21"/>
      <c r="P7" s="140"/>
      <c r="Q7" s="141"/>
      <c r="R7" s="141"/>
      <c r="S7" s="54"/>
      <c r="T7" s="149"/>
      <c r="U7" s="150"/>
      <c r="V7" s="151"/>
      <c r="W7" s="149"/>
    </row>
    <row r="8" spans="1:23" s="1" customFormat="1" ht="21" customHeight="1">
      <c r="A8" s="87" t="s">
        <v>0</v>
      </c>
      <c r="B8" s="75" t="s">
        <v>1</v>
      </c>
      <c r="C8" s="75" t="s">
        <v>2</v>
      </c>
      <c r="D8" s="75" t="s">
        <v>3</v>
      </c>
      <c r="E8" s="85" t="s">
        <v>4</v>
      </c>
      <c r="F8" s="75" t="s">
        <v>5</v>
      </c>
      <c r="G8" s="75" t="s">
        <v>6</v>
      </c>
      <c r="H8" s="75" t="s">
        <v>7</v>
      </c>
      <c r="I8" s="75" t="s">
        <v>8</v>
      </c>
      <c r="J8" s="75"/>
      <c r="K8" s="75"/>
      <c r="L8" s="75"/>
      <c r="M8" s="75"/>
      <c r="N8" s="75"/>
      <c r="O8" s="75"/>
      <c r="P8" s="75"/>
      <c r="Q8" s="79" t="s">
        <v>9</v>
      </c>
      <c r="R8" s="81" t="s">
        <v>10</v>
      </c>
      <c r="S8" s="81" t="s">
        <v>11</v>
      </c>
      <c r="T8" s="75" t="s">
        <v>12</v>
      </c>
      <c r="U8" s="75" t="s">
        <v>13</v>
      </c>
      <c r="V8" s="75" t="s">
        <v>14</v>
      </c>
      <c r="W8" s="77" t="s">
        <v>15</v>
      </c>
    </row>
    <row r="9" spans="1:23" s="1" customFormat="1" ht="21.95" customHeight="1">
      <c r="A9" s="88"/>
      <c r="B9" s="76"/>
      <c r="C9" s="76"/>
      <c r="D9" s="76"/>
      <c r="E9" s="8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80"/>
      <c r="R9" s="82"/>
      <c r="S9" s="82"/>
      <c r="T9" s="76"/>
      <c r="U9" s="76"/>
      <c r="V9" s="76"/>
      <c r="W9" s="78"/>
    </row>
    <row r="10" spans="1:23" s="1" customFormat="1" ht="53.1" customHeight="1">
      <c r="A10" s="23" t="s">
        <v>16</v>
      </c>
      <c r="B10" s="24" t="s">
        <v>17</v>
      </c>
      <c r="C10" s="24" t="s">
        <v>18</v>
      </c>
      <c r="D10" s="24" t="s">
        <v>19</v>
      </c>
      <c r="E10" s="86"/>
      <c r="F10" s="24" t="s">
        <v>20</v>
      </c>
      <c r="G10" s="24" t="s">
        <v>21</v>
      </c>
      <c r="H10" s="24" t="s">
        <v>22</v>
      </c>
      <c r="I10" s="22">
        <v>3</v>
      </c>
      <c r="J10" s="22">
        <v>4</v>
      </c>
      <c r="K10" s="22">
        <v>5</v>
      </c>
      <c r="L10" s="22">
        <v>6</v>
      </c>
      <c r="M10" s="22">
        <v>7</v>
      </c>
      <c r="N10" s="22">
        <v>8</v>
      </c>
      <c r="O10" s="22">
        <v>9</v>
      </c>
      <c r="P10" s="22">
        <v>10</v>
      </c>
      <c r="Q10" s="55" t="s">
        <v>23</v>
      </c>
      <c r="R10" s="56" t="s">
        <v>24</v>
      </c>
      <c r="S10" s="56" t="s">
        <v>25</v>
      </c>
      <c r="T10" s="24" t="s">
        <v>26</v>
      </c>
      <c r="U10" s="24" t="s">
        <v>27</v>
      </c>
      <c r="V10" s="24" t="s">
        <v>28</v>
      </c>
      <c r="W10" s="57" t="s">
        <v>29</v>
      </c>
    </row>
    <row r="11" spans="1:23" s="3" customFormat="1" ht="56.1" customHeight="1">
      <c r="A11" s="89">
        <v>1</v>
      </c>
      <c r="B11" s="90" t="s">
        <v>30</v>
      </c>
      <c r="C11" s="26" t="s">
        <v>31</v>
      </c>
      <c r="D11" s="83"/>
      <c r="E11" s="28"/>
      <c r="F11" s="29" t="s">
        <v>32</v>
      </c>
      <c r="G11" s="30" t="s">
        <v>33</v>
      </c>
      <c r="H11" s="31" t="s">
        <v>34</v>
      </c>
      <c r="I11" s="137" t="s">
        <v>35</v>
      </c>
      <c r="J11" s="137"/>
      <c r="K11" s="137"/>
      <c r="L11" s="137"/>
      <c r="M11" s="137"/>
      <c r="N11" s="137"/>
      <c r="O11" s="137"/>
      <c r="P11" s="137"/>
      <c r="Q11" s="29">
        <v>60</v>
      </c>
      <c r="R11" s="58">
        <v>22.69</v>
      </c>
      <c r="S11" s="59">
        <f t="shared" ref="S11:S15" si="0">R11*Q11</f>
        <v>1361.4</v>
      </c>
      <c r="T11" s="60">
        <v>2.98</v>
      </c>
      <c r="U11" s="61">
        <v>0.2</v>
      </c>
      <c r="V11" s="62">
        <f t="shared" ref="V11:V15" si="1">T11+U11</f>
        <v>3.18</v>
      </c>
      <c r="W11" s="63">
        <f>V11*S11</f>
        <v>4329.2520000000004</v>
      </c>
    </row>
    <row r="12" spans="1:23" s="3" customFormat="1" ht="56.1" customHeight="1">
      <c r="A12" s="89"/>
      <c r="B12" s="84"/>
      <c r="C12" s="26" t="s">
        <v>36</v>
      </c>
      <c r="D12" s="84"/>
      <c r="E12" s="28"/>
      <c r="F12" s="29" t="s">
        <v>37</v>
      </c>
      <c r="G12" s="30" t="s">
        <v>38</v>
      </c>
      <c r="H12" s="31" t="s">
        <v>34</v>
      </c>
      <c r="I12" s="137" t="s">
        <v>35</v>
      </c>
      <c r="J12" s="137"/>
      <c r="K12" s="137"/>
      <c r="L12" s="137"/>
      <c r="M12" s="137"/>
      <c r="N12" s="137"/>
      <c r="O12" s="137"/>
      <c r="P12" s="137"/>
      <c r="Q12" s="29">
        <v>20</v>
      </c>
      <c r="R12" s="58">
        <v>22.69</v>
      </c>
      <c r="S12" s="59">
        <f t="shared" si="0"/>
        <v>453.8</v>
      </c>
      <c r="T12" s="60">
        <v>2.98</v>
      </c>
      <c r="U12" s="61">
        <v>0.38</v>
      </c>
      <c r="V12" s="62">
        <f t="shared" si="1"/>
        <v>3.36</v>
      </c>
      <c r="W12" s="63">
        <f t="shared" ref="W12:W28" si="2">V12*S12</f>
        <v>1524.768</v>
      </c>
    </row>
    <row r="13" spans="1:23" s="3" customFormat="1" ht="56.1" customHeight="1">
      <c r="A13" s="89"/>
      <c r="B13" s="84"/>
      <c r="C13" s="26" t="s">
        <v>36</v>
      </c>
      <c r="D13" s="84"/>
      <c r="E13" s="28"/>
      <c r="F13" s="32" t="s">
        <v>39</v>
      </c>
      <c r="G13" s="33" t="s">
        <v>40</v>
      </c>
      <c r="H13" s="31" t="s">
        <v>34</v>
      </c>
      <c r="I13" s="137" t="s">
        <v>35</v>
      </c>
      <c r="J13" s="137"/>
      <c r="K13" s="137"/>
      <c r="L13" s="137"/>
      <c r="M13" s="137"/>
      <c r="N13" s="137"/>
      <c r="O13" s="137"/>
      <c r="P13" s="137"/>
      <c r="Q13" s="29">
        <v>20</v>
      </c>
      <c r="R13" s="58">
        <v>22.69</v>
      </c>
      <c r="S13" s="59">
        <f t="shared" si="0"/>
        <v>453.8</v>
      </c>
      <c r="T13" s="60">
        <v>2.98</v>
      </c>
      <c r="U13" s="61">
        <v>0.38</v>
      </c>
      <c r="V13" s="62">
        <f t="shared" si="1"/>
        <v>3.36</v>
      </c>
      <c r="W13" s="63">
        <f t="shared" si="2"/>
        <v>1524.768</v>
      </c>
    </row>
    <row r="14" spans="1:23" s="3" customFormat="1" ht="56.1" customHeight="1">
      <c r="A14" s="89"/>
      <c r="B14" s="84"/>
      <c r="C14" s="26" t="s">
        <v>36</v>
      </c>
      <c r="D14" s="84"/>
      <c r="E14" s="28"/>
      <c r="F14" s="32" t="s">
        <v>41</v>
      </c>
      <c r="G14" s="33" t="s">
        <v>42</v>
      </c>
      <c r="H14" s="31" t="s">
        <v>34</v>
      </c>
      <c r="I14" s="137" t="s">
        <v>35</v>
      </c>
      <c r="J14" s="137"/>
      <c r="K14" s="137"/>
      <c r="L14" s="137"/>
      <c r="M14" s="137"/>
      <c r="N14" s="137"/>
      <c r="O14" s="137"/>
      <c r="P14" s="137"/>
      <c r="Q14" s="29">
        <v>10</v>
      </c>
      <c r="R14" s="58">
        <v>22.69</v>
      </c>
      <c r="S14" s="59">
        <f t="shared" si="0"/>
        <v>226.9</v>
      </c>
      <c r="T14" s="60">
        <v>2.98</v>
      </c>
      <c r="U14" s="61">
        <v>0.38</v>
      </c>
      <c r="V14" s="62">
        <f t="shared" si="1"/>
        <v>3.36</v>
      </c>
      <c r="W14" s="63">
        <f t="shared" si="2"/>
        <v>762.38400000000001</v>
      </c>
    </row>
    <row r="15" spans="1:23" s="3" customFormat="1" ht="56.1" customHeight="1">
      <c r="A15" s="89"/>
      <c r="B15" s="84"/>
      <c r="C15" s="26" t="s">
        <v>31</v>
      </c>
      <c r="D15" s="84"/>
      <c r="E15" s="28"/>
      <c r="F15" s="29" t="s">
        <v>43</v>
      </c>
      <c r="G15" s="34" t="s">
        <v>44</v>
      </c>
      <c r="H15" s="29" t="s">
        <v>45</v>
      </c>
      <c r="I15" s="137" t="s">
        <v>35</v>
      </c>
      <c r="J15" s="137"/>
      <c r="K15" s="137"/>
      <c r="L15" s="137"/>
      <c r="M15" s="137"/>
      <c r="N15" s="137"/>
      <c r="O15" s="137"/>
      <c r="P15" s="137"/>
      <c r="Q15" s="28">
        <v>10</v>
      </c>
      <c r="R15" s="58">
        <v>22.69</v>
      </c>
      <c r="S15" s="59">
        <f t="shared" si="0"/>
        <v>226.9</v>
      </c>
      <c r="T15" s="60">
        <v>2.98</v>
      </c>
      <c r="U15" s="61">
        <v>0.38</v>
      </c>
      <c r="V15" s="62">
        <f t="shared" si="1"/>
        <v>3.36</v>
      </c>
      <c r="W15" s="63">
        <f t="shared" si="2"/>
        <v>762.38400000000001</v>
      </c>
    </row>
    <row r="16" spans="1:23" s="3" customFormat="1" ht="56.1" customHeight="1">
      <c r="A16" s="89"/>
      <c r="B16" s="84"/>
      <c r="C16" s="26" t="s">
        <v>36</v>
      </c>
      <c r="D16" s="84"/>
      <c r="E16" s="28"/>
      <c r="F16" s="29" t="s">
        <v>46</v>
      </c>
      <c r="G16" s="30" t="s">
        <v>47</v>
      </c>
      <c r="H16" s="31" t="s">
        <v>34</v>
      </c>
      <c r="I16" s="137" t="s">
        <v>35</v>
      </c>
      <c r="J16" s="137"/>
      <c r="K16" s="137"/>
      <c r="L16" s="137"/>
      <c r="M16" s="137"/>
      <c r="N16" s="137"/>
      <c r="O16" s="137"/>
      <c r="P16" s="137"/>
      <c r="Q16" s="28">
        <v>20</v>
      </c>
      <c r="R16" s="58">
        <v>22.69</v>
      </c>
      <c r="S16" s="59">
        <f t="shared" ref="S16:S22" si="3">R16*Q16</f>
        <v>453.8</v>
      </c>
      <c r="T16" s="60">
        <v>2.98</v>
      </c>
      <c r="U16" s="61">
        <v>0.38</v>
      </c>
      <c r="V16" s="62">
        <f t="shared" ref="V16:V22" si="4">T16+U16</f>
        <v>3.36</v>
      </c>
      <c r="W16" s="63">
        <f t="shared" si="2"/>
        <v>1524.768</v>
      </c>
    </row>
    <row r="17" spans="1:194" s="3" customFormat="1" ht="56.1" customHeight="1">
      <c r="A17" s="89"/>
      <c r="B17" s="84"/>
      <c r="C17" s="26" t="s">
        <v>31</v>
      </c>
      <c r="D17" s="84"/>
      <c r="E17" s="28"/>
      <c r="F17" s="29" t="s">
        <v>48</v>
      </c>
      <c r="G17" s="35" t="s">
        <v>49</v>
      </c>
      <c r="H17" s="31" t="s">
        <v>34</v>
      </c>
      <c r="I17" s="137" t="s">
        <v>35</v>
      </c>
      <c r="J17" s="137"/>
      <c r="K17" s="137"/>
      <c r="L17" s="137"/>
      <c r="M17" s="137"/>
      <c r="N17" s="137"/>
      <c r="O17" s="137"/>
      <c r="P17" s="137"/>
      <c r="Q17" s="28">
        <v>15</v>
      </c>
      <c r="R17" s="58">
        <v>22.69</v>
      </c>
      <c r="S17" s="59">
        <f t="shared" si="3"/>
        <v>340.35</v>
      </c>
      <c r="T17" s="60">
        <v>2.98</v>
      </c>
      <c r="U17" s="64">
        <v>0.38</v>
      </c>
      <c r="V17" s="62">
        <f t="shared" si="4"/>
        <v>3.36</v>
      </c>
      <c r="W17" s="63">
        <f t="shared" si="2"/>
        <v>1143.576</v>
      </c>
    </row>
    <row r="18" spans="1:194" s="3" customFormat="1" ht="56.1" customHeight="1">
      <c r="A18" s="89"/>
      <c r="B18" s="84"/>
      <c r="C18" s="26" t="s">
        <v>36</v>
      </c>
      <c r="D18" s="84"/>
      <c r="E18" s="28"/>
      <c r="F18" s="29" t="s">
        <v>50</v>
      </c>
      <c r="G18" s="30" t="s">
        <v>51</v>
      </c>
      <c r="H18" s="31" t="s">
        <v>34</v>
      </c>
      <c r="I18" s="137" t="s">
        <v>35</v>
      </c>
      <c r="J18" s="137"/>
      <c r="K18" s="137"/>
      <c r="L18" s="137"/>
      <c r="M18" s="137"/>
      <c r="N18" s="137"/>
      <c r="O18" s="137"/>
      <c r="P18" s="137"/>
      <c r="Q18" s="28">
        <v>15</v>
      </c>
      <c r="R18" s="58">
        <v>22.69</v>
      </c>
      <c r="S18" s="59">
        <f t="shared" si="3"/>
        <v>340.35</v>
      </c>
      <c r="T18" s="60">
        <v>2.98</v>
      </c>
      <c r="U18" s="61">
        <v>0.2</v>
      </c>
      <c r="V18" s="62">
        <f t="shared" si="4"/>
        <v>3.18</v>
      </c>
      <c r="W18" s="63">
        <f t="shared" si="2"/>
        <v>1082.3130000000001</v>
      </c>
    </row>
    <row r="19" spans="1:194" s="3" customFormat="1" ht="56.1" customHeight="1">
      <c r="A19" s="89"/>
      <c r="B19" s="84"/>
      <c r="C19" s="26" t="s">
        <v>31</v>
      </c>
      <c r="D19" s="84"/>
      <c r="E19" s="28"/>
      <c r="F19" s="32" t="s">
        <v>52</v>
      </c>
      <c r="G19" s="33" t="s">
        <v>53</v>
      </c>
      <c r="H19" s="31" t="s">
        <v>34</v>
      </c>
      <c r="I19" s="137" t="s">
        <v>35</v>
      </c>
      <c r="J19" s="137"/>
      <c r="K19" s="137"/>
      <c r="L19" s="137"/>
      <c r="M19" s="137"/>
      <c r="N19" s="137"/>
      <c r="O19" s="137"/>
      <c r="P19" s="137"/>
      <c r="Q19" s="28">
        <v>10</v>
      </c>
      <c r="R19" s="58">
        <v>22.69</v>
      </c>
      <c r="S19" s="59">
        <f t="shared" si="3"/>
        <v>226.9</v>
      </c>
      <c r="T19" s="60">
        <v>2.98</v>
      </c>
      <c r="U19" s="61">
        <v>0.2</v>
      </c>
      <c r="V19" s="62">
        <f t="shared" si="4"/>
        <v>3.18</v>
      </c>
      <c r="W19" s="63">
        <f t="shared" si="2"/>
        <v>721.54200000000003</v>
      </c>
    </row>
    <row r="20" spans="1:194" s="3" customFormat="1" ht="56.1" customHeight="1">
      <c r="A20" s="89"/>
      <c r="B20" s="84"/>
      <c r="C20" s="26" t="s">
        <v>31</v>
      </c>
      <c r="D20" s="84"/>
      <c r="E20" s="28"/>
      <c r="F20" s="29" t="s">
        <v>54</v>
      </c>
      <c r="G20" s="33" t="s">
        <v>55</v>
      </c>
      <c r="H20" s="31" t="s">
        <v>34</v>
      </c>
      <c r="I20" s="137" t="s">
        <v>35</v>
      </c>
      <c r="J20" s="137"/>
      <c r="K20" s="137"/>
      <c r="L20" s="137"/>
      <c r="M20" s="137"/>
      <c r="N20" s="137"/>
      <c r="O20" s="137"/>
      <c r="P20" s="137"/>
      <c r="Q20" s="28">
        <v>10</v>
      </c>
      <c r="R20" s="58">
        <v>22.69</v>
      </c>
      <c r="S20" s="59">
        <f t="shared" si="3"/>
        <v>226.9</v>
      </c>
      <c r="T20" s="60">
        <v>2.98</v>
      </c>
      <c r="U20" s="61">
        <v>0.2</v>
      </c>
      <c r="V20" s="62">
        <f t="shared" si="4"/>
        <v>3.18</v>
      </c>
      <c r="W20" s="63">
        <f t="shared" si="2"/>
        <v>721.54200000000003</v>
      </c>
    </row>
    <row r="21" spans="1:194" s="3" customFormat="1" ht="56.1" customHeight="1">
      <c r="A21" s="89"/>
      <c r="B21" s="84"/>
      <c r="C21" s="26" t="s">
        <v>31</v>
      </c>
      <c r="D21" s="84"/>
      <c r="E21" s="28"/>
      <c r="F21" s="29" t="s">
        <v>54</v>
      </c>
      <c r="G21" s="33" t="s">
        <v>55</v>
      </c>
      <c r="H21" s="31" t="s">
        <v>56</v>
      </c>
      <c r="I21" s="137" t="s">
        <v>35</v>
      </c>
      <c r="J21" s="137"/>
      <c r="K21" s="137"/>
      <c r="L21" s="137"/>
      <c r="M21" s="137"/>
      <c r="N21" s="137"/>
      <c r="O21" s="137"/>
      <c r="P21" s="137"/>
      <c r="Q21" s="28">
        <v>20</v>
      </c>
      <c r="R21" s="58">
        <v>22.69</v>
      </c>
      <c r="S21" s="59">
        <f t="shared" si="3"/>
        <v>453.8</v>
      </c>
      <c r="T21" s="60">
        <v>2.98</v>
      </c>
      <c r="U21" s="61">
        <v>0.2</v>
      </c>
      <c r="V21" s="62">
        <f t="shared" si="4"/>
        <v>3.18</v>
      </c>
      <c r="W21" s="63">
        <f t="shared" si="2"/>
        <v>1443.0840000000001</v>
      </c>
    </row>
    <row r="22" spans="1:194" s="3" customFormat="1" ht="56.1" customHeight="1">
      <c r="A22" s="89"/>
      <c r="B22" s="84"/>
      <c r="C22" s="26" t="s">
        <v>31</v>
      </c>
      <c r="D22" s="84"/>
      <c r="E22" s="28"/>
      <c r="F22" s="29" t="s">
        <v>57</v>
      </c>
      <c r="G22" s="34" t="s">
        <v>58</v>
      </c>
      <c r="H22" s="29" t="s">
        <v>45</v>
      </c>
      <c r="I22" s="137" t="s">
        <v>35</v>
      </c>
      <c r="J22" s="137"/>
      <c r="K22" s="137"/>
      <c r="L22" s="137"/>
      <c r="M22" s="137"/>
      <c r="N22" s="137"/>
      <c r="O22" s="137"/>
      <c r="P22" s="137"/>
      <c r="Q22" s="28">
        <v>20</v>
      </c>
      <c r="R22" s="58">
        <v>22.69</v>
      </c>
      <c r="S22" s="59">
        <f t="shared" si="3"/>
        <v>453.8</v>
      </c>
      <c r="T22" s="60">
        <v>2.98</v>
      </c>
      <c r="U22" s="61">
        <v>0.38</v>
      </c>
      <c r="V22" s="62">
        <f t="shared" si="4"/>
        <v>3.36</v>
      </c>
      <c r="W22" s="63">
        <f t="shared" si="2"/>
        <v>1524.768</v>
      </c>
    </row>
    <row r="23" spans="1:194" s="3" customFormat="1" ht="56.1" customHeight="1">
      <c r="A23" s="89"/>
      <c r="B23" s="84"/>
      <c r="C23" s="26" t="s">
        <v>31</v>
      </c>
      <c r="D23" s="84"/>
      <c r="E23" s="28"/>
      <c r="F23" s="36" t="s">
        <v>59</v>
      </c>
      <c r="G23" s="34" t="s">
        <v>33</v>
      </c>
      <c r="H23" s="31" t="s">
        <v>34</v>
      </c>
      <c r="I23" s="137" t="s">
        <v>60</v>
      </c>
      <c r="J23" s="137"/>
      <c r="K23" s="137"/>
      <c r="L23" s="137"/>
      <c r="M23" s="137"/>
      <c r="N23" s="137"/>
      <c r="O23" s="137"/>
      <c r="P23" s="137"/>
      <c r="Q23" s="31">
        <v>20</v>
      </c>
      <c r="R23" s="65">
        <v>20.529047619047599</v>
      </c>
      <c r="S23" s="66">
        <f>Q23*R23</f>
        <v>410.580952380952</v>
      </c>
      <c r="T23" s="60">
        <v>2.98</v>
      </c>
      <c r="U23" s="61">
        <v>0.2</v>
      </c>
      <c r="V23" s="64">
        <f>U23+T23</f>
        <v>3.18</v>
      </c>
      <c r="W23" s="63">
        <f t="shared" si="2"/>
        <v>1305.6474285714301</v>
      </c>
    </row>
    <row r="24" spans="1:194" s="3" customFormat="1" ht="56.1" customHeight="1">
      <c r="A24" s="89"/>
      <c r="B24" s="84"/>
      <c r="C24" s="26" t="s">
        <v>31</v>
      </c>
      <c r="D24" s="84"/>
      <c r="E24" s="37"/>
      <c r="F24" s="36" t="s">
        <v>59</v>
      </c>
      <c r="G24" s="34" t="s">
        <v>33</v>
      </c>
      <c r="H24" s="31" t="s">
        <v>34</v>
      </c>
      <c r="I24" s="137" t="s">
        <v>61</v>
      </c>
      <c r="J24" s="137"/>
      <c r="K24" s="137"/>
      <c r="L24" s="137"/>
      <c r="M24" s="137"/>
      <c r="N24" s="137"/>
      <c r="O24" s="137"/>
      <c r="P24" s="137"/>
      <c r="Q24" s="31">
        <v>60</v>
      </c>
      <c r="R24" s="65">
        <v>21.6095238095238</v>
      </c>
      <c r="S24" s="66">
        <f>Q24*R24</f>
        <v>1296.57142857143</v>
      </c>
      <c r="T24" s="60">
        <v>2.98</v>
      </c>
      <c r="U24" s="61">
        <v>0.2</v>
      </c>
      <c r="V24" s="64">
        <f>U24+T24</f>
        <v>3.18</v>
      </c>
      <c r="W24" s="63">
        <f t="shared" si="2"/>
        <v>4123.0971428571502</v>
      </c>
    </row>
    <row r="25" spans="1:194" s="4" customFormat="1" ht="56.1" customHeight="1">
      <c r="A25" s="89"/>
      <c r="B25" s="84"/>
      <c r="C25" s="26" t="s">
        <v>31</v>
      </c>
      <c r="D25" s="84"/>
      <c r="E25" s="28"/>
      <c r="F25" s="29" t="s">
        <v>62</v>
      </c>
      <c r="G25" s="30" t="s">
        <v>33</v>
      </c>
      <c r="H25" s="29" t="s">
        <v>63</v>
      </c>
      <c r="I25" s="137" t="s">
        <v>64</v>
      </c>
      <c r="J25" s="137"/>
      <c r="K25" s="137"/>
      <c r="L25" s="137"/>
      <c r="M25" s="137"/>
      <c r="N25" s="137"/>
      <c r="O25" s="137"/>
      <c r="P25" s="137"/>
      <c r="Q25" s="29">
        <v>20</v>
      </c>
      <c r="R25" s="67">
        <v>24.310714285714301</v>
      </c>
      <c r="S25" s="59">
        <f t="shared" ref="S25:S28" si="5">R25*Q25</f>
        <v>486.21428571428601</v>
      </c>
      <c r="T25" s="60">
        <v>2.98</v>
      </c>
      <c r="U25" s="61">
        <v>0.2</v>
      </c>
      <c r="V25" s="62">
        <f t="shared" ref="V25:V28" si="6">T25+U25</f>
        <v>3.18</v>
      </c>
      <c r="W25" s="63">
        <f t="shared" si="2"/>
        <v>1546.16142857143</v>
      </c>
    </row>
    <row r="26" spans="1:194" s="4" customFormat="1" ht="102" customHeight="1">
      <c r="A26" s="25">
        <v>2</v>
      </c>
      <c r="B26" s="34" t="s">
        <v>30</v>
      </c>
      <c r="C26" s="38" t="s">
        <v>65</v>
      </c>
      <c r="D26" s="39"/>
      <c r="E26" s="40"/>
      <c r="F26" s="29" t="s">
        <v>62</v>
      </c>
      <c r="G26" s="30" t="s">
        <v>33</v>
      </c>
      <c r="H26" s="29" t="s">
        <v>63</v>
      </c>
      <c r="I26" s="133" t="s">
        <v>35</v>
      </c>
      <c r="J26" s="133"/>
      <c r="K26" s="133"/>
      <c r="L26" s="133"/>
      <c r="M26" s="133"/>
      <c r="N26" s="133"/>
      <c r="O26" s="133"/>
      <c r="P26" s="133"/>
      <c r="Q26" s="68">
        <v>40</v>
      </c>
      <c r="R26" s="69">
        <v>12.9</v>
      </c>
      <c r="S26" s="59">
        <f t="shared" si="5"/>
        <v>516</v>
      </c>
      <c r="T26" s="60">
        <v>2.98</v>
      </c>
      <c r="U26" s="70">
        <v>0.59</v>
      </c>
      <c r="V26" s="62">
        <f t="shared" si="6"/>
        <v>3.57</v>
      </c>
      <c r="W26" s="63">
        <f t="shared" si="2"/>
        <v>1842.12</v>
      </c>
    </row>
    <row r="27" spans="1:194" s="4" customFormat="1" ht="87" customHeight="1">
      <c r="A27" s="25">
        <v>3</v>
      </c>
      <c r="B27" s="41" t="s">
        <v>66</v>
      </c>
      <c r="C27" s="40" t="s">
        <v>67</v>
      </c>
      <c r="D27" s="42"/>
      <c r="E27" s="27"/>
      <c r="F27" s="29" t="s">
        <v>62</v>
      </c>
      <c r="G27" s="30" t="s">
        <v>33</v>
      </c>
      <c r="H27" s="29" t="s">
        <v>63</v>
      </c>
      <c r="I27" s="133"/>
      <c r="J27" s="133"/>
      <c r="K27" s="133"/>
      <c r="L27" s="133"/>
      <c r="M27" s="133"/>
      <c r="N27" s="133"/>
      <c r="O27" s="133"/>
      <c r="P27" s="133"/>
      <c r="Q27" s="29">
        <v>50</v>
      </c>
      <c r="R27" s="69">
        <v>3.08</v>
      </c>
      <c r="S27" s="59">
        <f t="shared" si="5"/>
        <v>154</v>
      </c>
      <c r="T27" s="60">
        <v>2.98</v>
      </c>
      <c r="U27" s="71">
        <v>0.8</v>
      </c>
      <c r="V27" s="62">
        <f t="shared" si="6"/>
        <v>3.78</v>
      </c>
      <c r="W27" s="63">
        <f t="shared" si="2"/>
        <v>582.12</v>
      </c>
    </row>
    <row r="28" spans="1:194" s="5" customFormat="1" ht="123" customHeight="1">
      <c r="A28" s="25">
        <v>4</v>
      </c>
      <c r="B28" s="34" t="s">
        <v>66</v>
      </c>
      <c r="C28" s="43" t="s">
        <v>68</v>
      </c>
      <c r="D28" s="42"/>
      <c r="E28" s="44"/>
      <c r="F28" s="36" t="s">
        <v>69</v>
      </c>
      <c r="G28" s="34" t="s">
        <v>70</v>
      </c>
      <c r="H28" s="29" t="s">
        <v>63</v>
      </c>
      <c r="I28" s="133"/>
      <c r="J28" s="133"/>
      <c r="K28" s="133"/>
      <c r="L28" s="133"/>
      <c r="M28" s="133"/>
      <c r="N28" s="133"/>
      <c r="O28" s="133"/>
      <c r="P28" s="133"/>
      <c r="Q28" s="29">
        <v>25</v>
      </c>
      <c r="R28" s="66">
        <v>2.25</v>
      </c>
      <c r="S28" s="59">
        <f t="shared" si="5"/>
        <v>56.25</v>
      </c>
      <c r="T28" s="60">
        <v>2.98</v>
      </c>
      <c r="U28" s="71">
        <v>0.01</v>
      </c>
      <c r="V28" s="62">
        <f t="shared" si="6"/>
        <v>2.99</v>
      </c>
      <c r="W28" s="63">
        <f t="shared" si="2"/>
        <v>168.1875</v>
      </c>
    </row>
    <row r="29" spans="1:194" s="6" customFormat="1" ht="16.149999999999999" customHeight="1">
      <c r="A29" s="134" t="s">
        <v>71</v>
      </c>
      <c r="B29" s="135"/>
      <c r="C29" s="135"/>
      <c r="D29" s="45"/>
      <c r="E29" s="46"/>
      <c r="F29" s="46"/>
      <c r="G29" s="47"/>
      <c r="H29" s="45"/>
      <c r="I29" s="45"/>
      <c r="J29" s="45"/>
      <c r="K29" s="46"/>
      <c r="L29" s="46"/>
      <c r="M29" s="46"/>
      <c r="N29" s="46"/>
      <c r="O29" s="46"/>
      <c r="P29" s="46"/>
      <c r="Q29" s="45">
        <f>SUM(Q11:Q28)</f>
        <v>445</v>
      </c>
      <c r="R29" s="72"/>
      <c r="S29" s="72">
        <f>SUM(S11:S28)</f>
        <v>8138.3166666666702</v>
      </c>
      <c r="T29" s="72"/>
      <c r="U29" s="73"/>
      <c r="V29" s="73"/>
      <c r="W29" s="74">
        <f>SUM(W11:W28)</f>
        <v>26632.482499999998</v>
      </c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</row>
    <row r="30" spans="1:194" s="6" customFormat="1" ht="18.75">
      <c r="A30" s="136"/>
      <c r="B30" s="114"/>
      <c r="C30" s="114"/>
      <c r="D30" s="114"/>
      <c r="E30" s="114"/>
      <c r="F30" s="115"/>
      <c r="G30" s="103"/>
      <c r="H30" s="114"/>
      <c r="I30" s="114"/>
      <c r="J30" s="114"/>
      <c r="K30" s="116"/>
      <c r="L30" s="116"/>
      <c r="M30" s="116"/>
      <c r="N30" s="116"/>
      <c r="O30" s="116"/>
      <c r="P30" s="114"/>
      <c r="Q30" s="117"/>
      <c r="R30" s="114"/>
      <c r="S30" s="114"/>
      <c r="T30" s="114"/>
      <c r="U30" s="118"/>
      <c r="V30" s="118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</row>
    <row r="31" spans="1:194" s="6" customFormat="1" ht="18">
      <c r="A31" s="113"/>
      <c r="B31" s="114"/>
      <c r="C31" s="114"/>
      <c r="D31" s="114"/>
      <c r="E31" s="114"/>
      <c r="F31" s="115"/>
      <c r="G31" s="103"/>
      <c r="H31" s="114"/>
      <c r="I31" s="114"/>
      <c r="J31" s="114"/>
      <c r="K31" s="116"/>
      <c r="L31" s="116"/>
      <c r="M31" s="116"/>
      <c r="N31" s="116"/>
      <c r="O31" s="116"/>
      <c r="P31" s="114"/>
      <c r="Q31" s="117"/>
      <c r="R31" s="114"/>
      <c r="S31" s="114"/>
      <c r="T31" s="114"/>
      <c r="U31" s="118"/>
      <c r="V31" s="118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</row>
    <row r="32" spans="1:194" s="6" customFormat="1" ht="15.75">
      <c r="A32" s="119"/>
      <c r="B32" s="119"/>
      <c r="C32" s="119"/>
      <c r="D32" s="119"/>
      <c r="E32" s="120"/>
      <c r="F32" s="121"/>
      <c r="G32" s="122"/>
      <c r="H32" s="119"/>
      <c r="I32" s="119"/>
      <c r="J32" s="119"/>
      <c r="K32" s="123"/>
      <c r="L32" s="123"/>
      <c r="M32" s="123"/>
      <c r="N32" s="123"/>
      <c r="O32" s="123"/>
      <c r="P32" s="119"/>
      <c r="Q32" s="124"/>
      <c r="R32" s="119"/>
      <c r="S32" s="119"/>
      <c r="T32" s="119"/>
      <c r="U32" s="125"/>
      <c r="V32" s="125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</row>
    <row r="33" spans="1:194" s="6" customFormat="1" ht="15.75">
      <c r="A33" s="119"/>
      <c r="B33" s="119"/>
      <c r="C33" s="119"/>
      <c r="D33" s="119"/>
      <c r="E33" s="120"/>
      <c r="F33" s="121"/>
      <c r="G33" s="122"/>
      <c r="H33" s="119"/>
      <c r="I33" s="119"/>
      <c r="J33" s="119"/>
      <c r="K33" s="123"/>
      <c r="L33" s="123"/>
      <c r="M33" s="123"/>
      <c r="N33" s="123"/>
      <c r="O33" s="123"/>
      <c r="P33" s="119"/>
      <c r="Q33" s="124"/>
      <c r="R33" s="119"/>
      <c r="S33" s="119"/>
      <c r="T33" s="119"/>
      <c r="U33" s="125"/>
      <c r="V33" s="125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</row>
    <row r="34" spans="1:194" s="6" customFormat="1" ht="15.75">
      <c r="A34" s="119"/>
      <c r="B34" s="119"/>
      <c r="C34" s="119"/>
      <c r="D34" s="119"/>
      <c r="E34" s="120"/>
      <c r="F34" s="121"/>
      <c r="G34" s="122"/>
      <c r="H34" s="119"/>
      <c r="I34" s="119"/>
      <c r="J34" s="119"/>
      <c r="K34" s="123"/>
      <c r="L34" s="123"/>
      <c r="M34" s="123"/>
      <c r="N34" s="123"/>
      <c r="O34" s="123"/>
      <c r="P34" s="119"/>
      <c r="Q34" s="124"/>
      <c r="R34" s="119"/>
      <c r="S34" s="119"/>
      <c r="T34" s="119"/>
      <c r="U34" s="125"/>
      <c r="V34" s="125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</row>
    <row r="35" spans="1:194" s="6" customFormat="1" ht="15.75">
      <c r="A35" s="126"/>
      <c r="B35" s="126"/>
      <c r="C35" s="126"/>
      <c r="D35" s="126"/>
      <c r="E35" s="127"/>
      <c r="F35" s="128"/>
      <c r="G35" s="129"/>
      <c r="H35" s="126"/>
      <c r="I35" s="126"/>
      <c r="J35" s="126"/>
      <c r="K35" s="130"/>
      <c r="L35" s="130"/>
      <c r="M35" s="130"/>
      <c r="N35" s="130"/>
      <c r="O35" s="130"/>
      <c r="P35" s="126"/>
      <c r="Q35" s="131"/>
      <c r="R35" s="126"/>
      <c r="S35" s="126"/>
      <c r="T35" s="126"/>
      <c r="U35" s="132"/>
      <c r="V35" s="132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</row>
    <row r="36" spans="1:194" s="6" customFormat="1" ht="15.75">
      <c r="A36" s="91"/>
      <c r="B36" s="92"/>
      <c r="C36" s="92"/>
      <c r="D36" s="92"/>
      <c r="E36" s="93"/>
      <c r="F36" s="94"/>
      <c r="G36" s="95"/>
      <c r="H36" s="92"/>
      <c r="I36" s="92"/>
      <c r="J36" s="92"/>
      <c r="K36" s="96"/>
      <c r="L36" s="96"/>
      <c r="M36" s="96"/>
      <c r="N36" s="96"/>
      <c r="O36" s="96"/>
      <c r="P36" s="92"/>
      <c r="Q36" s="97"/>
      <c r="R36" s="92"/>
      <c r="S36" s="92"/>
      <c r="T36" s="92"/>
      <c r="U36" s="98"/>
      <c r="V36" s="98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</row>
    <row r="37" spans="1:194" s="6" customFormat="1" ht="15.75">
      <c r="A37" s="91"/>
      <c r="B37" s="92"/>
      <c r="C37" s="92"/>
      <c r="D37" s="92"/>
      <c r="E37" s="93"/>
      <c r="F37" s="94"/>
      <c r="G37" s="95"/>
      <c r="H37" s="92"/>
      <c r="I37" s="92"/>
      <c r="J37" s="92"/>
      <c r="K37" s="96"/>
      <c r="L37" s="96"/>
      <c r="M37" s="96"/>
      <c r="N37" s="96"/>
      <c r="O37" s="96"/>
      <c r="P37" s="92"/>
      <c r="Q37" s="97"/>
      <c r="R37" s="92"/>
      <c r="S37" s="92"/>
      <c r="T37" s="92"/>
      <c r="U37" s="98"/>
      <c r="V37" s="98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</row>
    <row r="38" spans="1:194" s="6" customFormat="1" ht="15.75">
      <c r="A38" s="91"/>
      <c r="B38" s="92"/>
      <c r="C38" s="92"/>
      <c r="D38" s="92"/>
      <c r="E38" s="93"/>
      <c r="F38" s="94"/>
      <c r="G38" s="95"/>
      <c r="H38" s="92"/>
      <c r="I38" s="92"/>
      <c r="J38" s="92"/>
      <c r="K38" s="96"/>
      <c r="L38" s="96"/>
      <c r="M38" s="96"/>
      <c r="N38" s="96"/>
      <c r="O38" s="96"/>
      <c r="P38" s="92"/>
      <c r="Q38" s="97"/>
      <c r="R38" s="92"/>
      <c r="S38" s="92"/>
      <c r="T38" s="92"/>
      <c r="U38" s="98"/>
      <c r="V38" s="98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</row>
    <row r="39" spans="1:194" s="6" customFormat="1" ht="15.75">
      <c r="A39" s="99"/>
      <c r="B39" s="100"/>
      <c r="C39" s="100"/>
      <c r="D39" s="100"/>
      <c r="E39" s="101"/>
      <c r="F39" s="102"/>
      <c r="G39" s="103"/>
      <c r="H39" s="100"/>
      <c r="I39" s="100"/>
      <c r="J39" s="100"/>
      <c r="K39" s="104"/>
      <c r="L39" s="104"/>
      <c r="M39" s="104"/>
      <c r="N39" s="104"/>
      <c r="O39" s="104"/>
      <c r="P39" s="100"/>
      <c r="Q39" s="105"/>
      <c r="R39" s="100"/>
      <c r="S39" s="100"/>
      <c r="T39" s="100"/>
      <c r="U39" s="106"/>
      <c r="V39" s="106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</row>
    <row r="40" spans="1:194" s="6" customFormat="1" ht="15.75">
      <c r="A40" s="107"/>
      <c r="B40" s="107"/>
      <c r="C40" s="107"/>
      <c r="D40" s="107"/>
      <c r="E40" s="108"/>
      <c r="F40" s="109"/>
      <c r="G40" s="108"/>
      <c r="H40" s="107"/>
      <c r="I40" s="107"/>
      <c r="J40" s="107"/>
      <c r="K40" s="110"/>
      <c r="L40" s="110"/>
      <c r="M40" s="110"/>
      <c r="N40" s="110"/>
      <c r="O40" s="110"/>
      <c r="P40" s="107"/>
      <c r="Q40" s="111"/>
      <c r="R40" s="107"/>
      <c r="S40" s="107"/>
      <c r="T40" s="107"/>
      <c r="U40" s="112"/>
      <c r="V40" s="112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</row>
  </sheetData>
  <mergeCells count="63">
    <mergeCell ref="A1:U1"/>
    <mergeCell ref="A2:U2"/>
    <mergeCell ref="A3:U3"/>
    <mergeCell ref="A4:U4"/>
    <mergeCell ref="A5:C5"/>
    <mergeCell ref="G5:H5"/>
    <mergeCell ref="A6:B6"/>
    <mergeCell ref="G6:O6"/>
    <mergeCell ref="P6:R6"/>
    <mergeCell ref="T6:W6"/>
    <mergeCell ref="A7:C7"/>
    <mergeCell ref="G7:H7"/>
    <mergeCell ref="P7:R7"/>
    <mergeCell ref="T7:W7"/>
    <mergeCell ref="I11:P11"/>
    <mergeCell ref="I12:P12"/>
    <mergeCell ref="I13:P13"/>
    <mergeCell ref="I14:P14"/>
    <mergeCell ref="I15:P15"/>
    <mergeCell ref="I16:P16"/>
    <mergeCell ref="I17:P17"/>
    <mergeCell ref="I18:P18"/>
    <mergeCell ref="I19:P19"/>
    <mergeCell ref="I20:P20"/>
    <mergeCell ref="I21:P21"/>
    <mergeCell ref="I22:P22"/>
    <mergeCell ref="I23:P23"/>
    <mergeCell ref="I24:P24"/>
    <mergeCell ref="I25:P25"/>
    <mergeCell ref="I26:P26"/>
    <mergeCell ref="I27:P27"/>
    <mergeCell ref="I28:P28"/>
    <mergeCell ref="A29:C29"/>
    <mergeCell ref="A30:V30"/>
    <mergeCell ref="A31:V31"/>
    <mergeCell ref="A32:V32"/>
    <mergeCell ref="A33:V33"/>
    <mergeCell ref="A34:V34"/>
    <mergeCell ref="A35:V35"/>
    <mergeCell ref="A36:V36"/>
    <mergeCell ref="A37:V37"/>
    <mergeCell ref="A38:V38"/>
    <mergeCell ref="A39:V39"/>
    <mergeCell ref="A40:V40"/>
    <mergeCell ref="A8:A9"/>
    <mergeCell ref="A11:A25"/>
    <mergeCell ref="B8:B9"/>
    <mergeCell ref="B11:B25"/>
    <mergeCell ref="C8:C9"/>
    <mergeCell ref="D8:D9"/>
    <mergeCell ref="D11:D25"/>
    <mergeCell ref="E8:E10"/>
    <mergeCell ref="F8:F9"/>
    <mergeCell ref="G8:G9"/>
    <mergeCell ref="U8:U9"/>
    <mergeCell ref="V8:V9"/>
    <mergeCell ref="W8:W9"/>
    <mergeCell ref="I8:P9"/>
    <mergeCell ref="H8:H9"/>
    <mergeCell ref="Q8:Q9"/>
    <mergeCell ref="R8:R9"/>
    <mergeCell ref="S8:S9"/>
    <mergeCell ref="T8:T9"/>
  </mergeCells>
  <conditionalFormatting sqref="B28:C28">
    <cfRule type="duplicateValues" dxfId="1" priority="1"/>
  </conditionalFormatting>
  <conditionalFormatting sqref="U27:U28">
    <cfRule type="cellIs" dxfId="0" priority="2" stopIfTrue="1" operator="lessThan">
      <formula>0</formula>
    </cfRule>
  </conditionalFormatting>
  <pageMargins left="0" right="0" top="0" bottom="0" header="0" footer="0"/>
  <pageSetup paperSize="9" scale="54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0FAF8D7-4460-4848-A79F-10381B7BA654}"/>
</file>

<file path=customXml/itemProps2.xml><?xml version="1.0" encoding="utf-8"?>
<ds:datastoreItem xmlns:ds="http://schemas.openxmlformats.org/officeDocument/2006/customXml" ds:itemID="{4B62BE30-5AF3-44FA-B956-82F98031D032}"/>
</file>

<file path=customXml/itemProps3.xml><?xml version="1.0" encoding="utf-8"?>
<ds:datastoreItem xmlns:ds="http://schemas.openxmlformats.org/officeDocument/2006/customXml" ds:itemID="{EC1D7732-B986-4F0B-8E77-F363C799E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Joice Mendes | Alinare</cp:lastModifiedBy>
  <cp:revision/>
  <dcterms:created xsi:type="dcterms:W3CDTF">2018-11-30T09:18:00Z</dcterms:created>
  <dcterms:modified xsi:type="dcterms:W3CDTF">2026-05-14T15:34:10Z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5D7D59E8A33046B586B0ADC8E03FD808_13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7127200</vt:r8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