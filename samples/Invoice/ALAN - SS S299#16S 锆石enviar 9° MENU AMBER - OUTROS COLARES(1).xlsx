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mc:AlternateContent xmlns:mc="http://schemas.openxmlformats.org/markup-compatibility/2006">
    <mc:Choice Requires="x15">
      <x15ac:absPath xmlns:x15ac="http://schemas.microsoft.com/office/spreadsheetml/2010/11/ac" url="https://azimemoda-my.sharepoint.com/personal/renato_azime_com_br/Documents/00-Geral/Diretoria/02-Compras/01-Pedidos/202602/Aprovados Alinare/menus prontos pra confirma/"/>
    </mc:Choice>
  </mc:AlternateContent>
  <xr:revisionPtr revIDLastSave="0" documentId="8_{7FEF24F0-4F31-494D-B7EE-0109E9C7F6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299 (3)" sheetId="3" r:id="rId1"/>
  </sheets>
  <definedNames>
    <definedName name="_xlnm._FilterDatabase" localSheetId="0" hidden="1">'S299 (3)'!$A$10:$GL$36</definedName>
    <definedName name="_xlnm.Print_Area" localSheetId="0">'S299 (3)'!$A$1:$W$36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" i="3" l="1"/>
  <c r="S25" i="3"/>
  <c r="Q25" i="3"/>
  <c r="W24" i="3"/>
  <c r="V24" i="3"/>
  <c r="S24" i="3"/>
  <c r="W23" i="3"/>
  <c r="V23" i="3"/>
  <c r="S23" i="3"/>
  <c r="W22" i="3"/>
  <c r="V22" i="3"/>
  <c r="S22" i="3"/>
  <c r="W21" i="3"/>
  <c r="V21" i="3"/>
  <c r="S21" i="3"/>
  <c r="W20" i="3"/>
  <c r="V20" i="3"/>
  <c r="S20" i="3"/>
  <c r="W19" i="3"/>
  <c r="V19" i="3"/>
  <c r="S19" i="3"/>
  <c r="W18" i="3"/>
  <c r="V18" i="3"/>
  <c r="S18" i="3"/>
  <c r="W17" i="3"/>
  <c r="V17" i="3"/>
  <c r="S17" i="3"/>
  <c r="W16" i="3"/>
  <c r="V16" i="3"/>
  <c r="S16" i="3"/>
  <c r="W15" i="3"/>
  <c r="V15" i="3"/>
  <c r="S15" i="3"/>
  <c r="W14" i="3"/>
  <c r="V14" i="3"/>
  <c r="S14" i="3"/>
  <c r="W13" i="3"/>
  <c r="V13" i="3"/>
  <c r="S13" i="3"/>
  <c r="W12" i="3"/>
  <c r="V12" i="3"/>
  <c r="S12" i="3"/>
  <c r="W11" i="3"/>
  <c r="V11" i="3"/>
  <c r="S11" i="3"/>
</calcChain>
</file>

<file path=xl/sharedStrings.xml><?xml version="1.0" encoding="utf-8"?>
<sst xmlns="http://schemas.openxmlformats.org/spreadsheetml/2006/main" count="104" uniqueCount="67">
  <si>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</si>
  <si>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</si>
  <si>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</si>
  <si>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</si>
  <si>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</si>
  <si>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</si>
  <si>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</si>
  <si>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</si>
  <si>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charset val="134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</si>
  <si>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</si>
  <si>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</si>
  <si>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</si>
  <si>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</si>
  <si>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</si>
  <si>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</si>
  <si>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</si>
  <si>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</si>
  <si>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</si>
  <si>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</si>
  <si>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</si>
  <si>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</si>
  <si>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</si>
  <si>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</si>
  <si>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</si>
  <si>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charset val="134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</si>
  <si>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charset val="134"/>
      </rPr>
      <t>g</t>
    </r>
    <r>
      <rPr>
        <b/>
        <sz val="12"/>
        <rFont val="宋体"/>
        <charset val="134"/>
      </rPr>
      <t>）</t>
    </r>
  </si>
  <si>
    <t>银价单价按克</t>
  </si>
  <si>
    <t>工费单价按克</t>
  </si>
  <si>
    <t>单价按克</t>
  </si>
  <si>
    <t>总金额</t>
  </si>
  <si>
    <t>项链</t>
  </si>
  <si>
    <t>SN15641-SH</t>
  </si>
  <si>
    <t>TANZANITE</t>
  </si>
  <si>
    <t>坦桑锆</t>
  </si>
  <si>
    <r>
      <rPr>
        <sz val="12"/>
        <color theme="1"/>
        <rFont val="Arial"/>
        <charset val="134"/>
      </rPr>
      <t xml:space="preserve">RODHIUM PLATE </t>
    </r>
    <r>
      <rPr>
        <sz val="12"/>
        <color theme="1"/>
        <rFont val="宋体"/>
        <charset val="134"/>
      </rPr>
      <t>镀白</t>
    </r>
  </si>
  <si>
    <r>
      <rPr>
        <sz val="12"/>
        <rFont val="Arial"/>
        <charset val="134"/>
      </rPr>
      <t>40+2.5+2.5CM</t>
    </r>
    <r>
      <rPr>
        <sz val="12"/>
        <rFont val="宋体"/>
        <charset val="134"/>
      </rPr>
      <t>，延长链同原链条，不要尾缀</t>
    </r>
  </si>
  <si>
    <t>CB12</t>
  </si>
  <si>
    <r>
      <rPr>
        <sz val="12"/>
        <rFont val="宋体"/>
        <charset val="134"/>
      </rPr>
      <t>合成石</t>
    </r>
    <r>
      <rPr>
        <sz val="12"/>
        <rFont val="Arial"/>
        <charset val="134"/>
      </rPr>
      <t>CB12</t>
    </r>
  </si>
  <si>
    <t>cb01</t>
  </si>
  <si>
    <r>
      <rPr>
        <sz val="12"/>
        <rFont val="宋体"/>
        <charset val="134"/>
      </rPr>
      <t>合成石</t>
    </r>
    <r>
      <rPr>
        <sz val="12"/>
        <rFont val="Arial"/>
        <charset val="134"/>
      </rPr>
      <t>CB01</t>
    </r>
  </si>
  <si>
    <t>SN15641-S</t>
  </si>
  <si>
    <t>ACQUAMARINE</t>
  </si>
  <si>
    <t>水兰玻</t>
  </si>
  <si>
    <t>very light yellow</t>
  </si>
  <si>
    <t>鹅黄锆</t>
  </si>
  <si>
    <t>SN16914-S</t>
  </si>
  <si>
    <r>
      <rPr>
        <sz val="12"/>
        <rFont val="Arial"/>
        <charset val="134"/>
      </rPr>
      <t xml:space="preserve">RODHIUM PLATE </t>
    </r>
    <r>
      <rPr>
        <sz val="12"/>
        <rFont val="宋体"/>
        <charset val="134"/>
      </rPr>
      <t>镀白</t>
    </r>
  </si>
  <si>
    <r>
      <rPr>
        <sz val="12"/>
        <color theme="1"/>
        <rFont val="Arial"/>
        <charset val="134"/>
      </rPr>
      <t>40 cm + 2.5 cm+2.5cm</t>
    </r>
    <r>
      <rPr>
        <sz val="12"/>
        <color theme="1"/>
        <rFont val="宋体"/>
        <charset val="134"/>
      </rPr>
      <t>，延长链同原链</t>
    </r>
  </si>
  <si>
    <r>
      <rPr>
        <sz val="12"/>
        <rFont val="Arial"/>
        <charset val="134"/>
      </rPr>
      <t xml:space="preserve">necklace </t>
    </r>
    <r>
      <rPr>
        <sz val="12"/>
        <rFont val="宋体"/>
        <charset val="134"/>
      </rPr>
      <t>项链</t>
    </r>
  </si>
  <si>
    <t>SN21404-SH</t>
  </si>
  <si>
    <t>tanzanite</t>
  </si>
  <si>
    <r>
      <rPr>
        <sz val="12"/>
        <rFont val="Arial"/>
        <charset val="134"/>
      </rPr>
      <t>40+2.5+2.5CM</t>
    </r>
    <r>
      <rPr>
        <sz val="12"/>
        <rFont val="宋体"/>
        <charset val="134"/>
      </rPr>
      <t>延长链同原链条，不要尾缀</t>
    </r>
  </si>
  <si>
    <t>cb12</t>
  </si>
  <si>
    <r>
      <rPr>
        <sz val="12"/>
        <rFont val="宋体"/>
        <charset val="134"/>
      </rPr>
      <t>手镶合成石</t>
    </r>
    <r>
      <rPr>
        <sz val="12"/>
        <rFont val="Arial"/>
        <charset val="134"/>
      </rPr>
      <t>CB12</t>
    </r>
  </si>
  <si>
    <r>
      <rPr>
        <sz val="12"/>
        <rFont val="宋体"/>
        <charset val="134"/>
      </rPr>
      <t>手镶合成石</t>
    </r>
    <r>
      <rPr>
        <sz val="12"/>
        <rFont val="Arial"/>
        <charset val="134"/>
      </rPr>
      <t>CB01</t>
    </r>
  </si>
  <si>
    <t>acquamarine</t>
  </si>
  <si>
    <t>SN21404-S</t>
  </si>
  <si>
    <t>ruby 3</t>
  </si>
  <si>
    <r>
      <rPr>
        <sz val="12"/>
        <rFont val="Arial"/>
        <charset val="134"/>
      </rPr>
      <t>#3</t>
    </r>
    <r>
      <rPr>
        <sz val="12"/>
        <rFont val="宋体"/>
        <charset val="134"/>
      </rPr>
      <t>红刚玉</t>
    </r>
  </si>
  <si>
    <t>手镶鹅黄石</t>
  </si>
  <si>
    <t>SN13240-S</t>
  </si>
  <si>
    <t>WHITE CZ</t>
  </si>
  <si>
    <t>白</t>
  </si>
  <si>
    <r>
      <rPr>
        <sz val="12"/>
        <color theme="1"/>
        <rFont val="Arial"/>
        <charset val="134"/>
      </rPr>
      <t xml:space="preserve">RODHIUM PLATE </t>
    </r>
    <r>
      <rPr>
        <sz val="12"/>
        <color indexed="8"/>
        <rFont val="宋体"/>
        <charset val="134"/>
      </rPr>
      <t>镀白</t>
    </r>
  </si>
  <si>
    <r>
      <rPr>
        <sz val="12"/>
        <rFont val="Arial"/>
        <charset val="134"/>
      </rPr>
      <t>28+10 cm</t>
    </r>
    <r>
      <rPr>
        <sz val="12"/>
        <rFont val="宋体"/>
        <charset val="134"/>
      </rPr>
      <t>，</t>
    </r>
    <r>
      <rPr>
        <sz val="12"/>
        <rFont val="Arial"/>
        <charset val="134"/>
      </rPr>
      <t>50C</t>
    </r>
    <r>
      <rPr>
        <sz val="12"/>
        <rFont val="宋体"/>
        <charset val="134"/>
      </rPr>
      <t>延长链，</t>
    </r>
    <r>
      <rPr>
        <sz val="12"/>
        <rFont val="Arial"/>
        <charset val="134"/>
      </rPr>
      <t>9MM</t>
    </r>
    <r>
      <rPr>
        <sz val="12"/>
        <rFont val="宋体"/>
        <charset val="134"/>
      </rPr>
      <t>国产水滴扣</t>
    </r>
  </si>
  <si>
    <r>
      <rPr>
        <sz val="12"/>
        <rFont val="Arial"/>
        <charset val="134"/>
      </rPr>
      <t>S208  2025-03#  GP+</t>
    </r>
    <r>
      <rPr>
        <sz val="12"/>
        <rFont val="宋体"/>
        <charset val="134"/>
      </rPr>
      <t>泳漆色板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</si>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</sst>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  <numFmt numFmtId="172" formatCode="&quot;US$&quot;#,##0.00;&quot;-US$&quot;#,##0.00"/>
  </numFmts>
  <fonts count="35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FF0000"/>
      <name val="宋体"/>
      <charset val="134"/>
    </font>
    <font>
      <b/>
      <sz val="18"/>
      <name val="Times New Roman"/>
      <charset val="134"/>
    </font>
    <font>
      <b/>
      <sz val="12"/>
      <name val="Arial"/>
      <charset val="134"/>
    </font>
    <font>
      <b/>
      <sz val="11"/>
      <name val="Times New Roman"/>
      <charset val="134"/>
    </font>
    <font>
      <b/>
      <sz val="18"/>
      <name val="Arial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sz val="12"/>
      <name val="等线"/>
      <charset val="134"/>
    </font>
    <font>
      <b/>
      <sz val="12"/>
      <color indexed="12"/>
      <name val="Arial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</font>
    <font>
      <sz val="12"/>
      <color rgb="FF000000"/>
      <name val="Arial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b/>
      <sz val="10"/>
      <name val="Arial"/>
      <charset val="134"/>
    </font>
    <font>
      <sz val="18"/>
      <name val="Arial"/>
      <charset val="134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sz val="18"/>
      <color rgb="FFFF0000"/>
      <name val="Arial"/>
      <charset val="134"/>
    </font>
    <font>
      <b/>
      <sz val="18"/>
      <color rgb="FFFF0000"/>
      <name val="Arial"/>
      <charset val="134"/>
    </font>
    <font>
      <b/>
      <sz val="10"/>
      <color rgb="FFFF0000"/>
      <name val="Arial"/>
      <charset val="134"/>
    </font>
    <font>
      <sz val="12"/>
      <name val="Calibri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>
      <alignment vertical="top"/>
    </xf>
    <xf numFmtId="164" fontId="34" fillId="0" borderId="0" applyFont="0" applyFill="0" applyBorder="0" applyAlignment="0" applyProtection="0"/>
    <xf numFmtId="0" fontId="34" fillId="0" borderId="0">
      <alignment vertical="top"/>
    </xf>
    <xf numFmtId="0" fontId="31" fillId="0" borderId="0">
      <alignment vertical="top"/>
    </xf>
    <xf numFmtId="0" fontId="34" fillId="0" borderId="0">
      <alignment vertical="center"/>
    </xf>
    <xf numFmtId="0" fontId="32" fillId="0" borderId="0"/>
    <xf numFmtId="0" fontId="31" fillId="0" borderId="0">
      <alignment vertical="top"/>
    </xf>
  </cellStyleXfs>
  <cellXfs count="159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0" borderId="4" xfId="6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0" fillId="0" borderId="4" xfId="6" applyFont="1" applyBorder="1" applyAlignment="1">
      <alignment horizontal="center" vertical="center" wrapText="1"/>
    </xf>
    <xf numFmtId="169" fontId="1" fillId="0" borderId="3" xfId="5" applyNumberFormat="1" applyFont="1" applyBorder="1" applyAlignment="1">
      <alignment horizontal="center" vertical="center" wrapText="1"/>
    </xf>
    <xf numFmtId="169" fontId="0" fillId="0" borderId="4" xfId="5" applyNumberFormat="1" applyFont="1" applyBorder="1" applyAlignment="1">
      <alignment horizontal="center" vertical="center" wrapText="1"/>
    </xf>
    <xf numFmtId="169" fontId="1" fillId="0" borderId="4" xfId="5" applyNumberFormat="1" applyFont="1" applyBorder="1" applyAlignment="1">
      <alignment horizontal="center" vertical="center" wrapText="1"/>
    </xf>
    <xf numFmtId="0" fontId="17" fillId="0" borderId="4" xfId="6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 shrinkToFit="1" readingOrder="1"/>
    </xf>
    <xf numFmtId="0" fontId="0" fillId="0" borderId="4" xfId="0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172" fontId="1" fillId="3" borderId="4" xfId="0" applyNumberFormat="1" applyFont="1" applyFill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167" fontId="16" fillId="3" borderId="4" xfId="0" applyNumberFormat="1" applyFont="1" applyFill="1" applyBorder="1" applyAlignment="1">
      <alignment horizontal="center" vertical="center" wrapText="1"/>
    </xf>
    <xf numFmtId="167" fontId="1" fillId="3" borderId="4" xfId="0" applyNumberFormat="1" applyFont="1" applyFill="1" applyBorder="1" applyAlignment="1">
      <alignment horizontal="center" vertical="center" wrapText="1"/>
    </xf>
    <xf numFmtId="165" fontId="1" fillId="0" borderId="4" xfId="6" applyNumberFormat="1" applyFont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172" fontId="1" fillId="0" borderId="4" xfId="0" applyNumberFormat="1" applyFont="1" applyBorder="1" applyAlignment="1">
      <alignment horizontal="center" vertical="center" wrapText="1"/>
    </xf>
    <xf numFmtId="172" fontId="18" fillId="0" borderId="13" xfId="0" applyNumberFormat="1" applyFon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 wrapText="1"/>
    </xf>
    <xf numFmtId="167" fontId="1" fillId="2" borderId="6" xfId="0" applyNumberFormat="1" applyFont="1" applyFill="1" applyBorder="1" applyAlignment="1">
      <alignment horizontal="center" vertical="center" wrapText="1"/>
    </xf>
    <xf numFmtId="167" fontId="6" fillId="2" borderId="14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0" borderId="3" xfId="6" applyFont="1" applyBorder="1" applyAlignment="1">
      <alignment horizontal="center" vertical="center" wrapText="1"/>
    </xf>
    <xf numFmtId="0" fontId="1" fillId="0" borderId="3" xfId="5" applyFont="1" applyBorder="1" applyAlignment="1">
      <alignment horizontal="center" vertical="center" wrapText="1"/>
    </xf>
    <xf numFmtId="169" fontId="1" fillId="0" borderId="3" xfId="5" applyNumberFormat="1" applyFont="1" applyBorder="1" applyAlignment="1">
      <alignment horizontal="center" vertical="center" wrapText="1"/>
    </xf>
    <xf numFmtId="0" fontId="14" fillId="0" borderId="4" xfId="6" applyFont="1" applyBorder="1" applyAlignment="1">
      <alignment horizontal="center" vertical="center" wrapText="1"/>
    </xf>
    <xf numFmtId="0" fontId="1" fillId="0" borderId="4" xfId="6" applyFont="1" applyBorder="1" applyAlignment="1">
      <alignment horizontal="center" vertical="center" wrapText="1"/>
    </xf>
    <xf numFmtId="0" fontId="1" fillId="0" borderId="4" xfId="5" applyFont="1" applyBorder="1" applyAlignment="1">
      <alignment horizontal="center" vertical="center" wrapText="1"/>
    </xf>
    <xf numFmtId="169" fontId="1" fillId="0" borderId="4" xfId="5" applyNumberFormat="1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 wrapText="1"/>
    </xf>
    <xf numFmtId="165" fontId="21" fillId="0" borderId="9" xfId="0" applyNumberFormat="1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 wrapText="1"/>
    </xf>
    <xf numFmtId="165" fontId="21" fillId="0" borderId="11" xfId="0" applyNumberFormat="1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 wrapText="1"/>
    </xf>
    <xf numFmtId="165" fontId="21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165" fontId="20" fillId="0" borderId="8" xfId="0" applyNumberFormat="1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165" fontId="21" fillId="0" borderId="4" xfId="0" applyNumberFormat="1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6" fillId="0" borderId="4" xfId="6" applyFont="1" applyBorder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4" fillId="0" borderId="0" xfId="0" applyNumberFormat="1" applyFont="1" applyAlignment="1">
      <alignment horizontal="left" vertical="center" wrapText="1"/>
    </xf>
    <xf numFmtId="14" fontId="25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0" fontId="12" fillId="0" borderId="0" xfId="1" applyNumberFormat="1" applyFont="1" applyBorder="1" applyAlignment="1">
      <alignment vertical="center" wrapText="1"/>
    </xf>
    <xf numFmtId="14" fontId="26" fillId="0" borderId="0" xfId="0" applyNumberFormat="1" applyFont="1" applyAlignment="1">
      <alignment horizontal="left" vertical="center" wrapText="1"/>
    </xf>
    <xf numFmtId="167" fontId="27" fillId="0" borderId="0" xfId="0" applyNumberFormat="1" applyFont="1" applyAlignment="1">
      <alignment horizontal="left" vertical="center" wrapText="1"/>
    </xf>
    <xf numFmtId="14" fontId="28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3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6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288290</xdr:colOff>
      <xdr:row>22</xdr:row>
      <xdr:rowOff>126365</xdr:rowOff>
    </xdr:from>
    <xdr:to>
      <xdr:col>3</xdr:col>
      <xdr:colOff>764540</xdr:colOff>
      <xdr:row>22</xdr:row>
      <xdr:rowOff>602615</xdr:rowOff>
    </xdr:to>
    <xdr:pic>
      <xdr:nvPicPr>
        <xdr:cNvPr id="2" name="ID_C92F30FBF0B743EC86E7DEEBA4F204EB" descr="SN13240-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79040" y="13515340"/>
          <a:ext cx="4762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345440</xdr:colOff>
      <xdr:row>11</xdr:row>
      <xdr:rowOff>643255</xdr:rowOff>
    </xdr:from>
    <xdr:to>
      <xdr:col>3</xdr:col>
      <xdr:colOff>1152525</xdr:colOff>
      <xdr:row>12</xdr:row>
      <xdr:rowOff>735330</xdr:rowOff>
    </xdr:to>
    <xdr:pic>
      <xdr:nvPicPr>
        <xdr:cNvPr id="296" name="ID_9ABDE7D26C54402994A1CAAC02E1C766" descr="SN15641-S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6190" y="4405630"/>
          <a:ext cx="807085" cy="841375"/>
        </a:xfrm>
        <a:prstGeom prst="rect">
          <a:avLst/>
        </a:prstGeom>
      </xdr:spPr>
    </xdr:pic>
    <xdr:clientData/>
  </xdr:twoCellAnchor>
  <xdr:twoCellAnchor editAs="oneCell">
    <xdr:from>
      <xdr:col>3</xdr:col>
      <xdr:colOff>360045</xdr:colOff>
      <xdr:row>15</xdr:row>
      <xdr:rowOff>20320</xdr:rowOff>
    </xdr:from>
    <xdr:to>
      <xdr:col>3</xdr:col>
      <xdr:colOff>1137920</xdr:colOff>
      <xdr:row>15</xdr:row>
      <xdr:rowOff>838200</xdr:rowOff>
    </xdr:to>
    <xdr:pic>
      <xdr:nvPicPr>
        <xdr:cNvPr id="304" name="ID_DB0EFCE21C824002BFE47B21A1B21D8C" descr="SN16914-S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0795" y="6652895"/>
          <a:ext cx="777875" cy="817880"/>
        </a:xfrm>
        <a:prstGeom prst="rect">
          <a:avLst/>
        </a:prstGeom>
      </xdr:spPr>
    </xdr:pic>
    <xdr:clientData/>
  </xdr:twoCellAnchor>
  <xdr:twoCellAnchor editAs="oneCell">
    <xdr:from>
      <xdr:col>3</xdr:col>
      <xdr:colOff>345440</xdr:colOff>
      <xdr:row>18</xdr:row>
      <xdr:rowOff>789305</xdr:rowOff>
    </xdr:from>
    <xdr:to>
      <xdr:col>3</xdr:col>
      <xdr:colOff>1152525</xdr:colOff>
      <xdr:row>19</xdr:row>
      <xdr:rowOff>548005</xdr:rowOff>
    </xdr:to>
    <xdr:pic>
      <xdr:nvPicPr>
        <xdr:cNvPr id="312" name="ID_88882030201A406FA0A4FEE95A4A2D3D" descr="SN21404-S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36190" y="10101580"/>
          <a:ext cx="807085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36"/>
  <sheetViews>
    <sheetView tabSelected="1" zoomScale="85" zoomScaleNormal="85" workbookViewId="0">
      <selection activeCell="W35" sqref="W35"/>
    </sheetView>
  </sheetViews>
  <sheetFormatPr defaultColWidth="12.875" defaultRowHeight="15"/>
  <cols>
    <col min="1" max="1" width="6.125" style="7" customWidth="1"/>
    <col min="2" max="2" width="10.75" style="8" customWidth="1"/>
    <col min="3" max="3" width="11.875" style="7" customWidth="1"/>
    <col min="4" max="4" width="19.625" style="7" customWidth="1"/>
    <col min="5" max="5" width="15.875" style="9" customWidth="1"/>
    <col min="6" max="6" width="16.875" style="8" customWidth="1"/>
    <col min="7" max="7" width="14.375" style="1" customWidth="1"/>
    <col min="8" max="8" width="18.375" style="8" customWidth="1"/>
    <col min="9" max="16" width="4.125" style="8" customWidth="1"/>
    <col min="17" max="17" width="8" style="7" customWidth="1"/>
    <col min="18" max="18" width="9.875" style="10" customWidth="1"/>
    <col min="19" max="19" width="17.75" style="10" customWidth="1"/>
    <col min="20" max="20" width="14.75" style="11" customWidth="1"/>
    <col min="21" max="21" width="11.625" style="12" customWidth="1"/>
    <col min="22" max="22" width="11.625" style="5" customWidth="1"/>
    <col min="23" max="23" width="22.375" style="7" customWidth="1"/>
    <col min="24" max="171" width="12.875" style="13" customWidth="1"/>
    <col min="172" max="192" width="9" style="13" customWidth="1"/>
    <col min="193" max="193" width="6.125" style="13" customWidth="1"/>
    <col min="194" max="194" width="8.625" style="13" customWidth="1"/>
    <col min="195" max="16384" width="12.875" style="13"/>
  </cols>
  <sheetData>
    <row r="1" spans="1:23" s="1" customFormat="1" ht="18" customHeight="1">
      <c r="A1" s="146"/>
      <c r="B1" s="146"/>
      <c r="C1" s="146"/>
      <c r="D1" s="146"/>
      <c r="E1" s="146"/>
      <c r="F1" s="146"/>
      <c r="G1" s="147"/>
      <c r="H1" s="146"/>
      <c r="I1" s="146"/>
      <c r="J1" s="146"/>
      <c r="K1" s="146"/>
      <c r="L1" s="146"/>
      <c r="M1" s="146"/>
      <c r="N1" s="146"/>
      <c r="O1" s="146"/>
      <c r="P1" s="148"/>
      <c r="Q1" s="148"/>
      <c r="R1" s="149"/>
      <c r="S1" s="150"/>
      <c r="T1" s="149"/>
      <c r="U1" s="146"/>
    </row>
    <row r="2" spans="1:23" s="1" customFormat="1" ht="15" customHeight="1">
      <c r="A2" s="151"/>
      <c r="B2" s="151"/>
      <c r="C2" s="151"/>
      <c r="D2" s="151"/>
      <c r="E2" s="151"/>
      <c r="F2" s="151"/>
      <c r="G2" s="152"/>
      <c r="H2" s="151"/>
      <c r="I2" s="151"/>
      <c r="J2" s="151"/>
      <c r="K2" s="151"/>
      <c r="L2" s="151"/>
      <c r="M2" s="151"/>
      <c r="N2" s="151"/>
      <c r="O2" s="151"/>
      <c r="P2" s="153"/>
      <c r="Q2" s="153"/>
      <c r="R2" s="154"/>
      <c r="S2" s="155"/>
      <c r="T2" s="154"/>
      <c r="U2" s="151"/>
    </row>
    <row r="3" spans="1:23" s="1" customFormat="1" ht="13.5" customHeight="1">
      <c r="A3" s="151"/>
      <c r="B3" s="151"/>
      <c r="C3" s="151"/>
      <c r="D3" s="151"/>
      <c r="E3" s="151"/>
      <c r="F3" s="151"/>
      <c r="G3" s="152"/>
      <c r="H3" s="151"/>
      <c r="I3" s="151"/>
      <c r="J3" s="151"/>
      <c r="K3" s="151"/>
      <c r="L3" s="151"/>
      <c r="M3" s="151"/>
      <c r="N3" s="151"/>
      <c r="O3" s="151"/>
      <c r="P3" s="153"/>
      <c r="Q3" s="153"/>
      <c r="R3" s="154"/>
      <c r="S3" s="155"/>
      <c r="T3" s="154"/>
      <c r="U3" s="151"/>
    </row>
    <row r="4" spans="1:23" s="1" customFormat="1" ht="20.25" customHeight="1">
      <c r="A4" s="156"/>
      <c r="B4" s="156"/>
      <c r="C4" s="156"/>
      <c r="D4" s="156"/>
      <c r="E4" s="156"/>
      <c r="F4" s="156"/>
      <c r="G4" s="147"/>
      <c r="H4" s="156"/>
      <c r="I4" s="156"/>
      <c r="J4" s="156"/>
      <c r="K4" s="156"/>
      <c r="L4" s="156"/>
      <c r="M4" s="156"/>
      <c r="N4" s="156"/>
      <c r="O4" s="156"/>
      <c r="P4" s="157"/>
      <c r="Q4" s="157"/>
      <c r="R4" s="149"/>
      <c r="S4" s="150"/>
      <c r="T4" s="149"/>
      <c r="U4" s="156"/>
    </row>
    <row r="5" spans="1:23" s="1" customFormat="1" ht="21.75" customHeight="1">
      <c r="A5" s="132"/>
      <c r="B5" s="158"/>
      <c r="C5" s="132"/>
      <c r="D5" s="15"/>
      <c r="E5" s="15"/>
      <c r="G5" s="133"/>
      <c r="H5" s="133"/>
      <c r="I5" s="16"/>
      <c r="J5" s="16"/>
      <c r="K5" s="38"/>
      <c r="L5" s="38"/>
      <c r="M5" s="38"/>
      <c r="P5" s="39"/>
      <c r="Q5" s="39"/>
      <c r="R5" s="41"/>
      <c r="S5" s="40"/>
      <c r="T5" s="42"/>
      <c r="U5" s="43"/>
    </row>
    <row r="6" spans="1:23" s="1" customFormat="1" ht="21.75" customHeight="1">
      <c r="A6" s="132"/>
      <c r="B6" s="132"/>
      <c r="C6" s="17"/>
      <c r="D6" s="15"/>
      <c r="E6" s="18"/>
      <c r="F6" s="14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135"/>
      <c r="R6" s="135"/>
      <c r="S6" s="44"/>
      <c r="T6" s="136"/>
      <c r="U6" s="137"/>
      <c r="V6" s="136"/>
      <c r="W6" s="138"/>
    </row>
    <row r="7" spans="1:23" s="2" customFormat="1" ht="30.95" customHeight="1">
      <c r="A7" s="139"/>
      <c r="B7" s="140"/>
      <c r="C7" s="140"/>
      <c r="D7" s="19"/>
      <c r="F7" s="20"/>
      <c r="G7" s="141"/>
      <c r="H7" s="142"/>
      <c r="I7" s="20"/>
      <c r="J7" s="20"/>
      <c r="K7" s="20"/>
      <c r="L7" s="20"/>
      <c r="M7" s="20"/>
      <c r="N7" s="20"/>
      <c r="O7" s="20"/>
      <c r="P7" s="134"/>
      <c r="Q7" s="135"/>
      <c r="R7" s="135"/>
      <c r="S7" s="44"/>
      <c r="T7" s="143"/>
      <c r="U7" s="144"/>
      <c r="V7" s="145"/>
      <c r="W7" s="143"/>
    </row>
    <row r="8" spans="1:23" s="1" customFormat="1" ht="21" customHeight="1">
      <c r="A8" s="80" t="s">
        <v>0</v>
      </c>
      <c r="B8" s="68" t="s">
        <v>1</v>
      </c>
      <c r="C8" s="68" t="s">
        <v>2</v>
      </c>
      <c r="D8" s="68" t="s">
        <v>3</v>
      </c>
      <c r="E8" s="90" t="s">
        <v>4</v>
      </c>
      <c r="F8" s="68" t="s">
        <v>5</v>
      </c>
      <c r="G8" s="68" t="s">
        <v>6</v>
      </c>
      <c r="H8" s="68" t="s">
        <v>7</v>
      </c>
      <c r="I8" s="68" t="s">
        <v>8</v>
      </c>
      <c r="J8" s="68"/>
      <c r="K8" s="68"/>
      <c r="L8" s="68"/>
      <c r="M8" s="68"/>
      <c r="N8" s="68"/>
      <c r="O8" s="68"/>
      <c r="P8" s="68"/>
      <c r="Q8" s="72" t="s">
        <v>9</v>
      </c>
      <c r="R8" s="66" t="s">
        <v>10</v>
      </c>
      <c r="S8" s="66" t="s">
        <v>11</v>
      </c>
      <c r="T8" s="68" t="s">
        <v>12</v>
      </c>
      <c r="U8" s="68" t="s">
        <v>13</v>
      </c>
      <c r="V8" s="68" t="s">
        <v>14</v>
      </c>
      <c r="W8" s="70" t="s">
        <v>15</v>
      </c>
    </row>
    <row r="9" spans="1:23" s="1" customFormat="1" ht="21.95" customHeight="1">
      <c r="A9" s="81"/>
      <c r="B9" s="69"/>
      <c r="C9" s="69"/>
      <c r="D9" s="69"/>
      <c r="E9" s="91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73"/>
      <c r="R9" s="67"/>
      <c r="S9" s="67"/>
      <c r="T9" s="69"/>
      <c r="U9" s="69"/>
      <c r="V9" s="69"/>
      <c r="W9" s="71"/>
    </row>
    <row r="10" spans="1:23" s="1" customFormat="1" ht="53.1" customHeight="1">
      <c r="A10" s="22" t="s">
        <v>16</v>
      </c>
      <c r="B10" s="23" t="s">
        <v>17</v>
      </c>
      <c r="C10" s="23" t="s">
        <v>18</v>
      </c>
      <c r="D10" s="23" t="s">
        <v>19</v>
      </c>
      <c r="E10" s="91"/>
      <c r="F10" s="23" t="s">
        <v>20</v>
      </c>
      <c r="G10" s="23" t="s">
        <v>21</v>
      </c>
      <c r="H10" s="23" t="s">
        <v>22</v>
      </c>
      <c r="I10" s="21">
        <v>3</v>
      </c>
      <c r="J10" s="21">
        <v>4</v>
      </c>
      <c r="K10" s="21">
        <v>5</v>
      </c>
      <c r="L10" s="21">
        <v>6</v>
      </c>
      <c r="M10" s="21">
        <v>7</v>
      </c>
      <c r="N10" s="21">
        <v>8</v>
      </c>
      <c r="O10" s="21">
        <v>9</v>
      </c>
      <c r="P10" s="21">
        <v>10</v>
      </c>
      <c r="Q10" s="45" t="s">
        <v>23</v>
      </c>
      <c r="R10" s="46" t="s">
        <v>24</v>
      </c>
      <c r="S10" s="46" t="s">
        <v>25</v>
      </c>
      <c r="T10" s="23" t="s">
        <v>26</v>
      </c>
      <c r="U10" s="23" t="s">
        <v>27</v>
      </c>
      <c r="V10" s="23" t="s">
        <v>28</v>
      </c>
      <c r="W10" s="47" t="s">
        <v>29</v>
      </c>
    </row>
    <row r="11" spans="1:23" s="3" customFormat="1" ht="59.1" customHeight="1">
      <c r="A11" s="82">
        <v>1</v>
      </c>
      <c r="B11" s="85" t="s">
        <v>30</v>
      </c>
      <c r="C11" s="24" t="s">
        <v>31</v>
      </c>
      <c r="D11" s="89"/>
      <c r="E11" s="26"/>
      <c r="F11" s="26" t="s">
        <v>32</v>
      </c>
      <c r="G11" s="27" t="s">
        <v>33</v>
      </c>
      <c r="H11" s="26" t="s">
        <v>34</v>
      </c>
      <c r="I11" s="86" t="s">
        <v>35</v>
      </c>
      <c r="J11" s="86"/>
      <c r="K11" s="86"/>
      <c r="L11" s="86"/>
      <c r="M11" s="86"/>
      <c r="N11" s="86"/>
      <c r="O11" s="86"/>
      <c r="P11" s="86"/>
      <c r="Q11" s="48">
        <v>20</v>
      </c>
      <c r="R11" s="24">
        <v>1.65</v>
      </c>
      <c r="S11" s="49">
        <f t="shared" ref="S11:S19" si="0">Q11*R11</f>
        <v>33</v>
      </c>
      <c r="T11" s="50">
        <v>2.98</v>
      </c>
      <c r="U11" s="51">
        <v>1.31</v>
      </c>
      <c r="V11" s="50">
        <f t="shared" ref="V11:V22" si="1">U11+T11</f>
        <v>4.29</v>
      </c>
      <c r="W11" s="52">
        <f t="shared" ref="W11:W19" si="2">V11*S11</f>
        <v>141.57</v>
      </c>
    </row>
    <row r="12" spans="1:23" s="3" customFormat="1" ht="59.1" customHeight="1">
      <c r="A12" s="82"/>
      <c r="B12" s="86"/>
      <c r="C12" s="24" t="s">
        <v>31</v>
      </c>
      <c r="D12" s="89"/>
      <c r="E12" s="26"/>
      <c r="F12" s="26" t="s">
        <v>36</v>
      </c>
      <c r="G12" s="27" t="s">
        <v>37</v>
      </c>
      <c r="H12" s="26" t="s">
        <v>34</v>
      </c>
      <c r="I12" s="86" t="s">
        <v>35</v>
      </c>
      <c r="J12" s="86"/>
      <c r="K12" s="86"/>
      <c r="L12" s="86"/>
      <c r="M12" s="86"/>
      <c r="N12" s="86"/>
      <c r="O12" s="86"/>
      <c r="P12" s="86"/>
      <c r="Q12" s="48">
        <v>20</v>
      </c>
      <c r="R12" s="24">
        <v>1.65</v>
      </c>
      <c r="S12" s="49">
        <f t="shared" si="0"/>
        <v>33</v>
      </c>
      <c r="T12" s="50">
        <v>2.98</v>
      </c>
      <c r="U12" s="51">
        <v>1.31</v>
      </c>
      <c r="V12" s="50">
        <f t="shared" si="1"/>
        <v>4.29</v>
      </c>
      <c r="W12" s="52">
        <f t="shared" si="2"/>
        <v>141.57</v>
      </c>
    </row>
    <row r="13" spans="1:23" s="3" customFormat="1" ht="59.1" customHeight="1">
      <c r="A13" s="82"/>
      <c r="B13" s="86"/>
      <c r="C13" s="24" t="s">
        <v>31</v>
      </c>
      <c r="D13" s="89"/>
      <c r="E13" s="26"/>
      <c r="F13" s="26" t="s">
        <v>38</v>
      </c>
      <c r="G13" s="27" t="s">
        <v>39</v>
      </c>
      <c r="H13" s="26" t="s">
        <v>34</v>
      </c>
      <c r="I13" s="86" t="s">
        <v>35</v>
      </c>
      <c r="J13" s="86"/>
      <c r="K13" s="86"/>
      <c r="L13" s="86"/>
      <c r="M13" s="86"/>
      <c r="N13" s="86"/>
      <c r="O13" s="86"/>
      <c r="P13" s="86"/>
      <c r="Q13" s="48">
        <v>20</v>
      </c>
      <c r="R13" s="24">
        <v>1.65</v>
      </c>
      <c r="S13" s="49">
        <f t="shared" si="0"/>
        <v>33</v>
      </c>
      <c r="T13" s="50">
        <v>2.98</v>
      </c>
      <c r="U13" s="51">
        <v>1.31</v>
      </c>
      <c r="V13" s="50">
        <f t="shared" si="1"/>
        <v>4.29</v>
      </c>
      <c r="W13" s="52">
        <f t="shared" si="2"/>
        <v>141.57</v>
      </c>
    </row>
    <row r="14" spans="1:23" s="3" customFormat="1" ht="48" customHeight="1">
      <c r="A14" s="82"/>
      <c r="B14" s="86"/>
      <c r="C14" s="24" t="s">
        <v>40</v>
      </c>
      <c r="D14" s="89"/>
      <c r="E14" s="26"/>
      <c r="F14" s="26" t="s">
        <v>41</v>
      </c>
      <c r="G14" s="27" t="s">
        <v>42</v>
      </c>
      <c r="H14" s="26" t="s">
        <v>34</v>
      </c>
      <c r="I14" s="86" t="s">
        <v>35</v>
      </c>
      <c r="J14" s="86"/>
      <c r="K14" s="86"/>
      <c r="L14" s="86"/>
      <c r="M14" s="86"/>
      <c r="N14" s="86"/>
      <c r="O14" s="86"/>
      <c r="P14" s="86"/>
      <c r="Q14" s="48">
        <v>20</v>
      </c>
      <c r="R14" s="24">
        <v>1.65</v>
      </c>
      <c r="S14" s="49">
        <f t="shared" si="0"/>
        <v>33</v>
      </c>
      <c r="T14" s="50">
        <v>2.98</v>
      </c>
      <c r="U14" s="51">
        <v>0.96</v>
      </c>
      <c r="V14" s="50">
        <f t="shared" si="1"/>
        <v>3.94</v>
      </c>
      <c r="W14" s="52">
        <f t="shared" si="2"/>
        <v>130.02000000000001</v>
      </c>
    </row>
    <row r="15" spans="1:23" s="3" customFormat="1" ht="60" customHeight="1">
      <c r="A15" s="82"/>
      <c r="B15" s="86"/>
      <c r="C15" s="24" t="s">
        <v>31</v>
      </c>
      <c r="D15" s="89"/>
      <c r="E15" s="26"/>
      <c r="F15" s="26" t="s">
        <v>43</v>
      </c>
      <c r="G15" s="27" t="s">
        <v>44</v>
      </c>
      <c r="H15" s="26" t="s">
        <v>34</v>
      </c>
      <c r="I15" s="86" t="s">
        <v>35</v>
      </c>
      <c r="J15" s="86"/>
      <c r="K15" s="86"/>
      <c r="L15" s="86"/>
      <c r="M15" s="86"/>
      <c r="N15" s="86"/>
      <c r="O15" s="86"/>
      <c r="P15" s="86"/>
      <c r="Q15" s="48">
        <v>20</v>
      </c>
      <c r="R15" s="24">
        <v>1.65</v>
      </c>
      <c r="S15" s="49">
        <f t="shared" si="0"/>
        <v>33</v>
      </c>
      <c r="T15" s="50">
        <v>2.98</v>
      </c>
      <c r="U15" s="51">
        <v>1.31</v>
      </c>
      <c r="V15" s="50">
        <f t="shared" si="1"/>
        <v>4.29</v>
      </c>
      <c r="W15" s="52">
        <f t="shared" si="2"/>
        <v>141.57</v>
      </c>
    </row>
    <row r="16" spans="1:23" s="3" customFormat="1" ht="66.95" customHeight="1">
      <c r="A16" s="28">
        <v>2</v>
      </c>
      <c r="B16" s="29" t="s">
        <v>30</v>
      </c>
      <c r="C16" s="30" t="s">
        <v>45</v>
      </c>
      <c r="D16" s="25"/>
      <c r="E16" s="26"/>
      <c r="F16" s="26" t="s">
        <v>43</v>
      </c>
      <c r="G16" s="31" t="s">
        <v>44</v>
      </c>
      <c r="H16" s="32" t="s">
        <v>46</v>
      </c>
      <c r="I16" s="131" t="s">
        <v>47</v>
      </c>
      <c r="J16" s="86"/>
      <c r="K16" s="86"/>
      <c r="L16" s="86"/>
      <c r="M16" s="86"/>
      <c r="N16" s="86"/>
      <c r="O16" s="86"/>
      <c r="P16" s="86"/>
      <c r="Q16" s="48">
        <v>20</v>
      </c>
      <c r="R16" s="53">
        <v>4.88</v>
      </c>
      <c r="S16" s="49">
        <f t="shared" si="0"/>
        <v>97.6</v>
      </c>
      <c r="T16" s="50">
        <v>2.98</v>
      </c>
      <c r="U16" s="54">
        <v>0.36</v>
      </c>
      <c r="V16" s="50">
        <f t="shared" si="1"/>
        <v>3.34</v>
      </c>
      <c r="W16" s="52">
        <f t="shared" si="2"/>
        <v>325.98399999999998</v>
      </c>
    </row>
    <row r="17" spans="1:236" s="3" customFormat="1" ht="72" customHeight="1">
      <c r="A17" s="83">
        <v>3</v>
      </c>
      <c r="B17" s="87" t="s">
        <v>48</v>
      </c>
      <c r="C17" s="33" t="s">
        <v>49</v>
      </c>
      <c r="D17" s="89"/>
      <c r="E17" s="33"/>
      <c r="F17" s="33" t="s">
        <v>50</v>
      </c>
      <c r="G17" s="34" t="s">
        <v>33</v>
      </c>
      <c r="H17" s="32" t="s">
        <v>46</v>
      </c>
      <c r="I17" s="86" t="s">
        <v>51</v>
      </c>
      <c r="J17" s="86"/>
      <c r="K17" s="86"/>
      <c r="L17" s="86"/>
      <c r="M17" s="86"/>
      <c r="N17" s="86"/>
      <c r="O17" s="86"/>
      <c r="P17" s="86"/>
      <c r="Q17" s="48">
        <v>10</v>
      </c>
      <c r="R17" s="49">
        <v>5.27</v>
      </c>
      <c r="S17" s="49">
        <f t="shared" si="0"/>
        <v>52.7</v>
      </c>
      <c r="T17" s="50">
        <v>2.98</v>
      </c>
      <c r="U17" s="55">
        <v>1.21</v>
      </c>
      <c r="V17" s="50">
        <f t="shared" si="1"/>
        <v>4.1900000000000004</v>
      </c>
      <c r="W17" s="52">
        <f t="shared" si="2"/>
        <v>220.81299999999999</v>
      </c>
    </row>
    <row r="18" spans="1:236" s="3" customFormat="1" ht="72" customHeight="1">
      <c r="A18" s="83"/>
      <c r="B18" s="87"/>
      <c r="C18" s="33" t="s">
        <v>49</v>
      </c>
      <c r="D18" s="89"/>
      <c r="E18" s="33"/>
      <c r="F18" s="33" t="s">
        <v>52</v>
      </c>
      <c r="G18" s="34" t="s">
        <v>53</v>
      </c>
      <c r="H18" s="32" t="s">
        <v>46</v>
      </c>
      <c r="I18" s="86" t="s">
        <v>51</v>
      </c>
      <c r="J18" s="86"/>
      <c r="K18" s="86"/>
      <c r="L18" s="86"/>
      <c r="M18" s="86"/>
      <c r="N18" s="86"/>
      <c r="O18" s="86"/>
      <c r="P18" s="86"/>
      <c r="Q18" s="48">
        <v>20</v>
      </c>
      <c r="R18" s="49">
        <v>5.27</v>
      </c>
      <c r="S18" s="49">
        <f t="shared" si="0"/>
        <v>105.4</v>
      </c>
      <c r="T18" s="50">
        <v>2.98</v>
      </c>
      <c r="U18" s="55">
        <v>1.21</v>
      </c>
      <c r="V18" s="50">
        <f t="shared" si="1"/>
        <v>4.1900000000000004</v>
      </c>
      <c r="W18" s="52">
        <f t="shared" si="2"/>
        <v>441.62599999999998</v>
      </c>
    </row>
    <row r="19" spans="1:236" s="3" customFormat="1" ht="72" customHeight="1">
      <c r="A19" s="83"/>
      <c r="B19" s="87"/>
      <c r="C19" s="33" t="s">
        <v>49</v>
      </c>
      <c r="D19" s="89"/>
      <c r="E19" s="33"/>
      <c r="F19" s="33" t="s">
        <v>38</v>
      </c>
      <c r="G19" s="34" t="s">
        <v>54</v>
      </c>
      <c r="H19" s="32" t="s">
        <v>46</v>
      </c>
      <c r="I19" s="86" t="s">
        <v>51</v>
      </c>
      <c r="J19" s="86"/>
      <c r="K19" s="86"/>
      <c r="L19" s="86"/>
      <c r="M19" s="86"/>
      <c r="N19" s="86"/>
      <c r="O19" s="86"/>
      <c r="P19" s="86"/>
      <c r="Q19" s="48">
        <v>10</v>
      </c>
      <c r="R19" s="49">
        <v>5.27</v>
      </c>
      <c r="S19" s="49">
        <f t="shared" si="0"/>
        <v>52.7</v>
      </c>
      <c r="T19" s="50">
        <v>2.98</v>
      </c>
      <c r="U19" s="55">
        <v>1.21</v>
      </c>
      <c r="V19" s="50">
        <f t="shared" si="1"/>
        <v>4.1900000000000004</v>
      </c>
      <c r="W19" s="52">
        <f t="shared" si="2"/>
        <v>220.81299999999999</v>
      </c>
    </row>
    <row r="20" spans="1:236" s="3" customFormat="1" ht="66.95" customHeight="1">
      <c r="A20" s="83"/>
      <c r="B20" s="87"/>
      <c r="C20" s="33" t="s">
        <v>49</v>
      </c>
      <c r="D20" s="89"/>
      <c r="E20" s="33"/>
      <c r="F20" s="33" t="s">
        <v>55</v>
      </c>
      <c r="G20" s="27" t="s">
        <v>42</v>
      </c>
      <c r="H20" s="32" t="s">
        <v>46</v>
      </c>
      <c r="I20" s="86" t="s">
        <v>51</v>
      </c>
      <c r="J20" s="86"/>
      <c r="K20" s="86"/>
      <c r="L20" s="86"/>
      <c r="M20" s="86"/>
      <c r="N20" s="86"/>
      <c r="O20" s="86"/>
      <c r="P20" s="86"/>
      <c r="Q20" s="48">
        <v>10</v>
      </c>
      <c r="R20" s="49">
        <v>5.27</v>
      </c>
      <c r="S20" s="49">
        <f t="shared" ref="S20:S24" si="3">Q20*R20</f>
        <v>52.7</v>
      </c>
      <c r="T20" s="50">
        <v>2.98</v>
      </c>
      <c r="U20" s="55">
        <v>0.65</v>
      </c>
      <c r="V20" s="50">
        <f t="shared" si="1"/>
        <v>3.63</v>
      </c>
      <c r="W20" s="52">
        <f t="shared" ref="W20:W24" si="4">V20*S20</f>
        <v>191.30099999999999</v>
      </c>
    </row>
    <row r="21" spans="1:236" s="4" customFormat="1" ht="81.95" customHeight="1">
      <c r="A21" s="83"/>
      <c r="B21" s="87"/>
      <c r="C21" s="33" t="s">
        <v>56</v>
      </c>
      <c r="D21" s="89"/>
      <c r="E21" s="33"/>
      <c r="F21" s="33" t="s">
        <v>57</v>
      </c>
      <c r="G21" s="32" t="s">
        <v>58</v>
      </c>
      <c r="H21" s="32" t="s">
        <v>46</v>
      </c>
      <c r="I21" s="86" t="s">
        <v>51</v>
      </c>
      <c r="J21" s="86"/>
      <c r="K21" s="86"/>
      <c r="L21" s="86"/>
      <c r="M21" s="86"/>
      <c r="N21" s="86"/>
      <c r="O21" s="86"/>
      <c r="P21" s="86"/>
      <c r="Q21" s="48">
        <v>10</v>
      </c>
      <c r="R21" s="49">
        <v>5.27</v>
      </c>
      <c r="S21" s="49">
        <f t="shared" si="3"/>
        <v>52.7</v>
      </c>
      <c r="T21" s="50">
        <v>2.98</v>
      </c>
      <c r="U21" s="55">
        <v>1.21</v>
      </c>
      <c r="V21" s="50">
        <f t="shared" si="1"/>
        <v>4.1900000000000004</v>
      </c>
      <c r="W21" s="52">
        <f t="shared" si="4"/>
        <v>220.81299999999999</v>
      </c>
    </row>
    <row r="22" spans="1:236" s="4" customFormat="1" ht="99.95" customHeight="1">
      <c r="A22" s="83"/>
      <c r="B22" s="87"/>
      <c r="C22" s="33" t="s">
        <v>49</v>
      </c>
      <c r="D22" s="89"/>
      <c r="E22" s="33"/>
      <c r="F22" s="33" t="s">
        <v>43</v>
      </c>
      <c r="G22" s="34" t="s">
        <v>59</v>
      </c>
      <c r="H22" s="26" t="s">
        <v>34</v>
      </c>
      <c r="I22" s="86" t="s">
        <v>51</v>
      </c>
      <c r="J22" s="86"/>
      <c r="K22" s="86"/>
      <c r="L22" s="86"/>
      <c r="M22" s="86"/>
      <c r="N22" s="86"/>
      <c r="O22" s="86"/>
      <c r="P22" s="86"/>
      <c r="Q22" s="48">
        <v>10</v>
      </c>
      <c r="R22" s="49">
        <v>5.27</v>
      </c>
      <c r="S22" s="49">
        <f t="shared" si="3"/>
        <v>52.7</v>
      </c>
      <c r="T22" s="50">
        <v>2.98</v>
      </c>
      <c r="U22" s="55">
        <v>1.21</v>
      </c>
      <c r="V22" s="50">
        <f t="shared" si="1"/>
        <v>4.1900000000000004</v>
      </c>
      <c r="W22" s="52">
        <f t="shared" si="4"/>
        <v>220.81299999999999</v>
      </c>
    </row>
    <row r="23" spans="1:236" s="5" customFormat="1" ht="60" customHeight="1">
      <c r="A23" s="84">
        <v>4</v>
      </c>
      <c r="B23" s="88" t="s">
        <v>48</v>
      </c>
      <c r="C23" s="87" t="s">
        <v>60</v>
      </c>
      <c r="D23" s="87"/>
      <c r="E23" s="32"/>
      <c r="F23" s="26" t="s">
        <v>61</v>
      </c>
      <c r="G23" s="31" t="s">
        <v>62</v>
      </c>
      <c r="H23" s="26" t="s">
        <v>63</v>
      </c>
      <c r="I23" s="86" t="s">
        <v>64</v>
      </c>
      <c r="J23" s="86"/>
      <c r="K23" s="86"/>
      <c r="L23" s="86"/>
      <c r="M23" s="86"/>
      <c r="N23" s="86"/>
      <c r="O23" s="86"/>
      <c r="P23" s="86"/>
      <c r="Q23" s="48">
        <v>100</v>
      </c>
      <c r="R23" s="56">
        <v>2.36</v>
      </c>
      <c r="S23" s="57">
        <f t="shared" si="3"/>
        <v>236</v>
      </c>
      <c r="T23" s="50">
        <v>2.98</v>
      </c>
      <c r="U23" s="58">
        <v>0.75</v>
      </c>
      <c r="V23" s="50">
        <f>T23+U23</f>
        <v>3.73</v>
      </c>
      <c r="W23" s="59">
        <f t="shared" si="4"/>
        <v>880.28</v>
      </c>
      <c r="X23" s="60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</row>
    <row r="24" spans="1:236" s="5" customFormat="1" ht="60" customHeight="1">
      <c r="A24" s="84"/>
      <c r="B24" s="88"/>
      <c r="C24" s="87"/>
      <c r="D24" s="87"/>
      <c r="E24" s="32"/>
      <c r="F24" s="26" t="s">
        <v>61</v>
      </c>
      <c r="G24" s="31" t="s">
        <v>62</v>
      </c>
      <c r="H24" s="32" t="s">
        <v>65</v>
      </c>
      <c r="I24" s="86" t="s">
        <v>64</v>
      </c>
      <c r="J24" s="86"/>
      <c r="K24" s="86"/>
      <c r="L24" s="86"/>
      <c r="M24" s="86"/>
      <c r="N24" s="86"/>
      <c r="O24" s="86"/>
      <c r="P24" s="86"/>
      <c r="Q24" s="48">
        <v>30</v>
      </c>
      <c r="R24" s="56">
        <v>2.36</v>
      </c>
      <c r="S24" s="57">
        <f t="shared" si="3"/>
        <v>70.8</v>
      </c>
      <c r="T24" s="50">
        <v>2.98</v>
      </c>
      <c r="U24" s="58">
        <v>0.75</v>
      </c>
      <c r="V24" s="50">
        <f>T24+U24</f>
        <v>3.73</v>
      </c>
      <c r="W24" s="59">
        <f t="shared" si="4"/>
        <v>264.084</v>
      </c>
      <c r="X24" s="60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</row>
    <row r="25" spans="1:236" s="6" customFormat="1" ht="16.149999999999999" customHeight="1">
      <c r="A25" s="129" t="s">
        <v>66</v>
      </c>
      <c r="B25" s="130"/>
      <c r="C25" s="130"/>
      <c r="D25" s="35"/>
      <c r="E25" s="36"/>
      <c r="F25" s="36"/>
      <c r="G25" s="37"/>
      <c r="H25" s="35"/>
      <c r="I25" s="35"/>
      <c r="J25" s="35"/>
      <c r="K25" s="36"/>
      <c r="L25" s="36"/>
      <c r="M25" s="36"/>
      <c r="N25" s="36"/>
      <c r="O25" s="36"/>
      <c r="P25" s="36"/>
      <c r="Q25" s="35">
        <f>SUM(Q11:Q24)</f>
        <v>320</v>
      </c>
      <c r="R25" s="61"/>
      <c r="S25" s="61">
        <f>SUM(S11:S24)</f>
        <v>938.3</v>
      </c>
      <c r="T25" s="61"/>
      <c r="U25" s="62"/>
      <c r="V25" s="62"/>
      <c r="W25" s="63">
        <f>SUM(W11:W24)</f>
        <v>3682.8270000000002</v>
      </c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236" s="6" customFormat="1" ht="18.75">
      <c r="A26" s="115"/>
      <c r="B26" s="116"/>
      <c r="C26" s="116"/>
      <c r="D26" s="116"/>
      <c r="E26" s="116"/>
      <c r="F26" s="117"/>
      <c r="G26" s="111"/>
      <c r="H26" s="116"/>
      <c r="I26" s="116"/>
      <c r="J26" s="116"/>
      <c r="K26" s="118"/>
      <c r="L26" s="118"/>
      <c r="M26" s="118"/>
      <c r="N26" s="118"/>
      <c r="O26" s="118"/>
      <c r="P26" s="116"/>
      <c r="Q26" s="119"/>
      <c r="R26" s="116"/>
      <c r="S26" s="116"/>
      <c r="T26" s="116"/>
      <c r="U26" s="120"/>
      <c r="V26" s="120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236" s="6" customFormat="1" ht="18">
      <c r="A27" s="121"/>
      <c r="B27" s="116"/>
      <c r="C27" s="116"/>
      <c r="D27" s="116"/>
      <c r="E27" s="116"/>
      <c r="F27" s="117"/>
      <c r="G27" s="111"/>
      <c r="H27" s="116"/>
      <c r="I27" s="116"/>
      <c r="J27" s="116"/>
      <c r="K27" s="118"/>
      <c r="L27" s="118"/>
      <c r="M27" s="118"/>
      <c r="N27" s="118"/>
      <c r="O27" s="118"/>
      <c r="P27" s="116"/>
      <c r="Q27" s="119"/>
      <c r="R27" s="116"/>
      <c r="S27" s="116"/>
      <c r="T27" s="116"/>
      <c r="U27" s="120"/>
      <c r="V27" s="120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236" s="6" customFormat="1" ht="15.75">
      <c r="A28" s="122"/>
      <c r="B28" s="122"/>
      <c r="C28" s="122"/>
      <c r="D28" s="122"/>
      <c r="E28" s="123"/>
      <c r="F28" s="124"/>
      <c r="G28" s="125"/>
      <c r="H28" s="122"/>
      <c r="I28" s="122"/>
      <c r="J28" s="122"/>
      <c r="K28" s="126"/>
      <c r="L28" s="126"/>
      <c r="M28" s="126"/>
      <c r="N28" s="126"/>
      <c r="O28" s="126"/>
      <c r="P28" s="122"/>
      <c r="Q28" s="127"/>
      <c r="R28" s="122"/>
      <c r="S28" s="122"/>
      <c r="T28" s="122"/>
      <c r="U28" s="128"/>
      <c r="V28" s="128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236" s="6" customFormat="1" ht="15.75">
      <c r="A29" s="122"/>
      <c r="B29" s="122"/>
      <c r="C29" s="122"/>
      <c r="D29" s="122"/>
      <c r="E29" s="123"/>
      <c r="F29" s="124"/>
      <c r="G29" s="125"/>
      <c r="H29" s="122"/>
      <c r="I29" s="122"/>
      <c r="J29" s="122"/>
      <c r="K29" s="126"/>
      <c r="L29" s="126"/>
      <c r="M29" s="126"/>
      <c r="N29" s="126"/>
      <c r="O29" s="126"/>
      <c r="P29" s="122"/>
      <c r="Q29" s="127"/>
      <c r="R29" s="122"/>
      <c r="S29" s="122"/>
      <c r="T29" s="122"/>
      <c r="U29" s="128"/>
      <c r="V29" s="128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236" s="6" customFormat="1" ht="15.75">
      <c r="A30" s="122"/>
      <c r="B30" s="122"/>
      <c r="C30" s="122"/>
      <c r="D30" s="122"/>
      <c r="E30" s="123"/>
      <c r="F30" s="124"/>
      <c r="G30" s="125"/>
      <c r="H30" s="122"/>
      <c r="I30" s="122"/>
      <c r="J30" s="122"/>
      <c r="K30" s="126"/>
      <c r="L30" s="126"/>
      <c r="M30" s="126"/>
      <c r="N30" s="126"/>
      <c r="O30" s="126"/>
      <c r="P30" s="122"/>
      <c r="Q30" s="127"/>
      <c r="R30" s="122"/>
      <c r="S30" s="122"/>
      <c r="T30" s="122"/>
      <c r="U30" s="128"/>
      <c r="V30" s="128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236" s="6" customFormat="1" ht="15.75">
      <c r="A31" s="92"/>
      <c r="B31" s="92"/>
      <c r="C31" s="92"/>
      <c r="D31" s="92"/>
      <c r="E31" s="93"/>
      <c r="F31" s="94"/>
      <c r="G31" s="95"/>
      <c r="H31" s="92"/>
      <c r="I31" s="92"/>
      <c r="J31" s="92"/>
      <c r="K31" s="96"/>
      <c r="L31" s="96"/>
      <c r="M31" s="96"/>
      <c r="N31" s="96"/>
      <c r="O31" s="96"/>
      <c r="P31" s="92"/>
      <c r="Q31" s="97"/>
      <c r="R31" s="92"/>
      <c r="S31" s="92"/>
      <c r="T31" s="92"/>
      <c r="U31" s="98"/>
      <c r="V31" s="98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236" s="6" customFormat="1" ht="15.75">
      <c r="A32" s="99"/>
      <c r="B32" s="100"/>
      <c r="C32" s="100"/>
      <c r="D32" s="100"/>
      <c r="E32" s="101"/>
      <c r="F32" s="102"/>
      <c r="G32" s="103"/>
      <c r="H32" s="100"/>
      <c r="I32" s="100"/>
      <c r="J32" s="100"/>
      <c r="K32" s="104"/>
      <c r="L32" s="104"/>
      <c r="M32" s="104"/>
      <c r="N32" s="104"/>
      <c r="O32" s="104"/>
      <c r="P32" s="100"/>
      <c r="Q32" s="105"/>
      <c r="R32" s="100"/>
      <c r="S32" s="100"/>
      <c r="T32" s="100"/>
      <c r="U32" s="106"/>
      <c r="V32" s="10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s="6" customFormat="1" ht="15.75">
      <c r="A33" s="99"/>
      <c r="B33" s="100"/>
      <c r="C33" s="100"/>
      <c r="D33" s="100"/>
      <c r="E33" s="101"/>
      <c r="F33" s="102"/>
      <c r="G33" s="103"/>
      <c r="H33" s="100"/>
      <c r="I33" s="100"/>
      <c r="J33" s="100"/>
      <c r="K33" s="104"/>
      <c r="L33" s="104"/>
      <c r="M33" s="104"/>
      <c r="N33" s="104"/>
      <c r="O33" s="104"/>
      <c r="P33" s="100"/>
      <c r="Q33" s="105"/>
      <c r="R33" s="100"/>
      <c r="S33" s="100"/>
      <c r="T33" s="100"/>
      <c r="U33" s="106"/>
      <c r="V33" s="106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s="6" customFormat="1" ht="15.75">
      <c r="A34" s="99"/>
      <c r="B34" s="100"/>
      <c r="C34" s="100"/>
      <c r="D34" s="100"/>
      <c r="E34" s="101"/>
      <c r="F34" s="102"/>
      <c r="G34" s="103"/>
      <c r="H34" s="100"/>
      <c r="I34" s="100"/>
      <c r="J34" s="100"/>
      <c r="K34" s="104"/>
      <c r="L34" s="104"/>
      <c r="M34" s="104"/>
      <c r="N34" s="104"/>
      <c r="O34" s="104"/>
      <c r="P34" s="100"/>
      <c r="Q34" s="105"/>
      <c r="R34" s="100"/>
      <c r="S34" s="100"/>
      <c r="T34" s="100"/>
      <c r="U34" s="106"/>
      <c r="V34" s="106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s="6" customFormat="1" ht="15.75">
      <c r="A35" s="107"/>
      <c r="B35" s="108"/>
      <c r="C35" s="108"/>
      <c r="D35" s="108"/>
      <c r="E35" s="109"/>
      <c r="F35" s="110"/>
      <c r="G35" s="111"/>
      <c r="H35" s="108"/>
      <c r="I35" s="108"/>
      <c r="J35" s="108"/>
      <c r="K35" s="112"/>
      <c r="L35" s="112"/>
      <c r="M35" s="112"/>
      <c r="N35" s="112"/>
      <c r="O35" s="112"/>
      <c r="P35" s="108"/>
      <c r="Q35" s="113"/>
      <c r="R35" s="108"/>
      <c r="S35" s="108"/>
      <c r="T35" s="108"/>
      <c r="U35" s="114"/>
      <c r="V35" s="114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s="6" customFormat="1" ht="15.75">
      <c r="A36" s="74"/>
      <c r="B36" s="74"/>
      <c r="C36" s="74"/>
      <c r="D36" s="74"/>
      <c r="E36" s="75"/>
      <c r="F36" s="76"/>
      <c r="G36" s="75"/>
      <c r="H36" s="74"/>
      <c r="I36" s="74"/>
      <c r="J36" s="74"/>
      <c r="K36" s="77"/>
      <c r="L36" s="77"/>
      <c r="M36" s="77"/>
      <c r="N36" s="77"/>
      <c r="O36" s="77"/>
      <c r="P36" s="74"/>
      <c r="Q36" s="78"/>
      <c r="R36" s="74"/>
      <c r="S36" s="74"/>
      <c r="T36" s="74"/>
      <c r="U36" s="79"/>
      <c r="V36" s="79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</sheetData>
  <mergeCells count="66">
    <mergeCell ref="A1:U1"/>
    <mergeCell ref="A2:U2"/>
    <mergeCell ref="A3:U3"/>
    <mergeCell ref="A4:U4"/>
    <mergeCell ref="A5:C5"/>
    <mergeCell ref="G5:H5"/>
    <mergeCell ref="A6:B6"/>
    <mergeCell ref="G6:O6"/>
    <mergeCell ref="P6:R6"/>
    <mergeCell ref="T6:W6"/>
    <mergeCell ref="A7:C7"/>
    <mergeCell ref="G7:H7"/>
    <mergeCell ref="P7:R7"/>
    <mergeCell ref="T7:W7"/>
    <mergeCell ref="I11:P11"/>
    <mergeCell ref="I12:P12"/>
    <mergeCell ref="I13:P13"/>
    <mergeCell ref="I14:P14"/>
    <mergeCell ref="I15:P15"/>
    <mergeCell ref="I16:P16"/>
    <mergeCell ref="I17:P17"/>
    <mergeCell ref="I18:P18"/>
    <mergeCell ref="I19:P19"/>
    <mergeCell ref="I20:P20"/>
    <mergeCell ref="I21:P21"/>
    <mergeCell ref="I22:P22"/>
    <mergeCell ref="I23:P23"/>
    <mergeCell ref="I24:P24"/>
    <mergeCell ref="A25:C25"/>
    <mergeCell ref="A26:V26"/>
    <mergeCell ref="A27:V27"/>
    <mergeCell ref="A28:V28"/>
    <mergeCell ref="A29:V29"/>
    <mergeCell ref="A30:V30"/>
    <mergeCell ref="A31:V31"/>
    <mergeCell ref="A32:V32"/>
    <mergeCell ref="A33:V33"/>
    <mergeCell ref="A34:V34"/>
    <mergeCell ref="A35:V35"/>
    <mergeCell ref="A36:V36"/>
    <mergeCell ref="A8:A9"/>
    <mergeCell ref="A11:A15"/>
    <mergeCell ref="A17:A22"/>
    <mergeCell ref="A23:A24"/>
    <mergeCell ref="B8:B9"/>
    <mergeCell ref="B11:B15"/>
    <mergeCell ref="B17:B22"/>
    <mergeCell ref="B23:B24"/>
    <mergeCell ref="C8:C9"/>
    <mergeCell ref="C23:C24"/>
    <mergeCell ref="D8:D9"/>
    <mergeCell ref="D11:D15"/>
    <mergeCell ref="D17:D22"/>
    <mergeCell ref="D23:D24"/>
    <mergeCell ref="E8:E10"/>
    <mergeCell ref="F8:F9"/>
    <mergeCell ref="G8:G9"/>
    <mergeCell ref="H8:H9"/>
    <mergeCell ref="Q8:Q9"/>
    <mergeCell ref="R8:R9"/>
    <mergeCell ref="I8:P9"/>
    <mergeCell ref="S8:S9"/>
    <mergeCell ref="T8:T9"/>
    <mergeCell ref="U8:U9"/>
    <mergeCell ref="V8:V9"/>
    <mergeCell ref="W8:W9"/>
  </mergeCells>
  <conditionalFormatting sqref="A11">
    <cfRule type="duplicateValues" dxfId="5" priority="10"/>
  </conditionalFormatting>
  <conditionalFormatting sqref="B11">
    <cfRule type="duplicateValues" dxfId="4" priority="11"/>
  </conditionalFormatting>
  <conditionalFormatting sqref="C14">
    <cfRule type="duplicateValues" dxfId="3" priority="9"/>
  </conditionalFormatting>
  <conditionalFormatting sqref="R17:R22">
    <cfRule type="cellIs" dxfId="2" priority="3" stopIfTrue="1" operator="lessThan">
      <formula>0</formula>
    </cfRule>
  </conditionalFormatting>
  <conditionalFormatting sqref="T23:T24">
    <cfRule type="cellIs" dxfId="1" priority="1" stopIfTrue="1" operator="lessThan">
      <formula>0</formula>
    </cfRule>
  </conditionalFormatting>
  <conditionalFormatting sqref="V16">
    <cfRule type="cellIs" dxfId="0" priority="7" stopIfTrue="1" operator="lessThan">
      <formula>0</formula>
    </cfRule>
  </conditionalFormatting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5888E-7F93-4D75-AF71-4D144A0CA29E}"/>
</file>

<file path=customXml/itemProps2.xml><?xml version="1.0" encoding="utf-8"?>
<ds:datastoreItem xmlns:ds="http://schemas.openxmlformats.org/officeDocument/2006/customXml" ds:itemID="{6480BC38-55D1-4877-A267-57AFE60B2021}"/>
</file>

<file path=customXml/itemProps3.xml><?xml version="1.0" encoding="utf-8"?>
<ds:datastoreItem xmlns:ds="http://schemas.openxmlformats.org/officeDocument/2006/customXml" ds:itemID="{25BB91C7-470A-4BB5-8C83-2E1DD3648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Alan Martins | Operacional</cp:lastModifiedBy>
  <cp:revision/>
  <dcterms:created xsi:type="dcterms:W3CDTF">2018-11-30T09:18:00Z</dcterms:created>
  <dcterms:modified xsi:type="dcterms:W3CDTF">2026-05-26T13:48:33Z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1C3DB23CD8DA4CEC97E7A976B889DF7C_13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7127100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