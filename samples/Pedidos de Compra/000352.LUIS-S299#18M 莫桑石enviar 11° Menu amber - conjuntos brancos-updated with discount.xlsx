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OTE-477\Downloads\"/>
    </mc:Choice>
  </mc:AlternateContent>
  <xr:revisionPtr revIDLastSave="0" documentId="13_ncr:1_{CDCC8400-AB1D-4B4B-9B7A-52B7A18F7BF3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299 (3)" sheetId="3" r:id="rId1"/>
  </sheets>
  <definedNames>
    <definedName name="_xlnm._FilterDatabase" localSheetId="0" hidden="1">'S299 (3)'!$A$2:$S$6</definedName>
    <definedName name="_xlnm.Print_Area" localSheetId="0">'S299 (3)'!$A$1:$S$6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2" i="3"/>
</calcChain>
</file>

<file path=xl/sharedStrings.xml><?xml version="1.0" encoding="utf-8"?>
<sst xmlns="http://schemas.openxmlformats.org/spreadsheetml/2006/main" count="71" uniqueCount="35">
  <si>
    <t>WHITE MOISSANITE</t>
  </si>
  <si>
    <t>Categoria</t>
  </si>
  <si>
    <t>Código do Fornecedor</t>
  </si>
  <si>
    <t>Foto</t>
  </si>
  <si>
    <t>Material</t>
  </si>
  <si>
    <t>Fornecedor</t>
  </si>
  <si>
    <t>Banho</t>
  </si>
  <si>
    <t>Pedra</t>
  </si>
  <si>
    <t>Zirconia</t>
  </si>
  <si>
    <t>Tamanho</t>
  </si>
  <si>
    <t>TIPO PEDRA</t>
  </si>
  <si>
    <t>MARCA</t>
  </si>
  <si>
    <t>Quantidade</t>
  </si>
  <si>
    <t>Peso</t>
  </si>
  <si>
    <t xml:space="preserve">Labor Price   (USD/g)  </t>
  </si>
  <si>
    <t xml:space="preserve"> Silver Price   (USD/g) </t>
  </si>
  <si>
    <t>Dia</t>
  </si>
  <si>
    <t xml:space="preserve">Unit Price per piece FOB (USD) </t>
  </si>
  <si>
    <t>Preço de Vendas</t>
  </si>
  <si>
    <t>Remarks</t>
  </si>
  <si>
    <t>CORRENTE</t>
  </si>
  <si>
    <t>BRINCO</t>
  </si>
  <si>
    <t>PRATA</t>
  </si>
  <si>
    <t>AL</t>
  </si>
  <si>
    <t>RÓDIO</t>
  </si>
  <si>
    <t>00</t>
  </si>
  <si>
    <t>012432</t>
  </si>
  <si>
    <t>SPARKLE</t>
  </si>
  <si>
    <t>MOISSANITE</t>
  </si>
  <si>
    <t>MS</t>
  </si>
  <si>
    <t>SE25612-MOI</t>
  </si>
  <si>
    <t>SN14001-S-MOI</t>
  </si>
  <si>
    <t>SN21424-S-MOI</t>
  </si>
  <si>
    <t>SE47717-MOI</t>
  </si>
  <si>
    <t>SN21435-S-MOI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</si>
</sst>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_);[Red]\(0\)"/>
  </numFmts>
  <fonts count="11">
    <font>
      <sz val="12"/>
      <name val="宋体"/>
      <charset val="134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</font>
    <font>
      <b/>
      <sz val="11"/>
      <color indexed="12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2"/>
      <name val="新細明體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9C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/>
    </xf>
    <xf numFmtId="0" fontId="10" fillId="0" borderId="0">
      <alignment vertical="top"/>
    </xf>
    <xf numFmtId="0" fontId="8" fillId="0" borderId="0">
      <alignment vertical="top"/>
    </xf>
    <xf numFmtId="0" fontId="10" fillId="0" borderId="0">
      <alignment vertical="center"/>
    </xf>
    <xf numFmtId="0" fontId="9" fillId="0" borderId="0"/>
  </cellStyleXfs>
  <cellXfs count="16">
    <xf numFmtId="0" fontId="0" fillId="0" borderId="0" xfId="0">
      <alignment vertical="top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0" borderId="1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169" fontId="7" fillId="0" borderId="1" xfId="4" applyNumberFormat="1" applyFont="1" applyBorder="1" applyAlignment="1">
      <alignment horizontal="center" vertical="center"/>
    </xf>
    <xf numFmtId="0" fontId="2" fillId="4" borderId="1" xfId="4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shrinkToFit="1" readingOrder="1"/>
    </xf>
    <xf numFmtId="2" fontId="2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</cellXfs>
  <cellStyles count="5">
    <cellStyle name="Normal" xfId="0" builtinId="0"/>
    <cellStyle name="Normal 16" xfId="1" xr:uid="{00000000-0005-0000-0000-000031000000}"/>
    <cellStyle name="Style 1" xfId="2" xr:uid="{00000000-0005-0000-0000-000032000000}"/>
    <cellStyle name="常规 2" xfId="3" xr:uid="{00000000-0005-0000-0000-000033000000}"/>
    <cellStyle name="常规_Sheet1" xfId="4" xr:uid="{00000000-0005-0000-0000-000034000000}"/>
  </cellStyles>
  <dxfs count="0"/>
  <tableStyles count="0" defaultTableStyle="TableStyleMedium2" defaultPivotStyle="PivotStyleLight16"/>
  <colors>
    <mruColors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281305</xdr:colOff>
      <xdr:row>1</xdr:row>
      <xdr:rowOff>132715</xdr:rowOff>
    </xdr:from>
    <xdr:to>
      <xdr:col>2</xdr:col>
      <xdr:colOff>1216660</xdr:colOff>
      <xdr:row>1</xdr:row>
      <xdr:rowOff>969645</xdr:rowOff>
    </xdr:to>
    <xdr:pic>
      <xdr:nvPicPr>
        <xdr:cNvPr id="536" name="ID_E302F66B39684B418E84AF319A2B4145" descr="SE25612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2055" y="3145790"/>
          <a:ext cx="935355" cy="850265"/>
        </a:xfrm>
        <a:prstGeom prst="rect">
          <a:avLst/>
        </a:prstGeom>
      </xdr:spPr>
    </xdr:pic>
    <xdr:clientData/>
  </xdr:twoCellAnchor>
  <xdr:twoCellAnchor editAs="oneCell">
    <xdr:from>
      <xdr:col>2</xdr:col>
      <xdr:colOff>281305</xdr:colOff>
      <xdr:row>2</xdr:row>
      <xdr:rowOff>178435</xdr:rowOff>
    </xdr:from>
    <xdr:to>
      <xdr:col>2</xdr:col>
      <xdr:colOff>1216660</xdr:colOff>
      <xdr:row>2</xdr:row>
      <xdr:rowOff>933450</xdr:rowOff>
    </xdr:to>
    <xdr:pic>
      <xdr:nvPicPr>
        <xdr:cNvPr id="537" name="ID_3F704A3935C44E8B91A206020996E883" descr="SN14001-S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2055" y="4296410"/>
          <a:ext cx="935355" cy="758825"/>
        </a:xfrm>
        <a:prstGeom prst="rect">
          <a:avLst/>
        </a:prstGeom>
      </xdr:spPr>
    </xdr:pic>
    <xdr:clientData/>
  </xdr:twoCellAnchor>
  <xdr:twoCellAnchor editAs="oneCell">
    <xdr:from>
      <xdr:col>2</xdr:col>
      <xdr:colOff>309245</xdr:colOff>
      <xdr:row>3</xdr:row>
      <xdr:rowOff>133985</xdr:rowOff>
    </xdr:from>
    <xdr:to>
      <xdr:col>2</xdr:col>
      <xdr:colOff>1196340</xdr:colOff>
      <xdr:row>3</xdr:row>
      <xdr:rowOff>974725</xdr:rowOff>
    </xdr:to>
    <xdr:pic>
      <xdr:nvPicPr>
        <xdr:cNvPr id="557" name="ID_D7BF1B0CE0854D7D86E14464339E2938" descr="SN21424-S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9995" y="5356860"/>
          <a:ext cx="879475" cy="848360"/>
        </a:xfrm>
        <a:prstGeom prst="rect">
          <a:avLst/>
        </a:prstGeom>
      </xdr:spPr>
    </xdr:pic>
    <xdr:clientData/>
  </xdr:twoCellAnchor>
  <xdr:twoCellAnchor editAs="oneCell">
    <xdr:from>
      <xdr:col>2</xdr:col>
      <xdr:colOff>308610</xdr:colOff>
      <xdr:row>4</xdr:row>
      <xdr:rowOff>166370</xdr:rowOff>
    </xdr:from>
    <xdr:to>
      <xdr:col>2</xdr:col>
      <xdr:colOff>1196340</xdr:colOff>
      <xdr:row>4</xdr:row>
      <xdr:rowOff>949325</xdr:rowOff>
    </xdr:to>
    <xdr:pic>
      <xdr:nvPicPr>
        <xdr:cNvPr id="558" name="ID_90C8E079397344608E9EF583C659A6B5" descr="SE4771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9360" y="6494145"/>
          <a:ext cx="880110" cy="782955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5</xdr:row>
      <xdr:rowOff>212090</xdr:rowOff>
    </xdr:from>
    <xdr:to>
      <xdr:col>2</xdr:col>
      <xdr:colOff>1158875</xdr:colOff>
      <xdr:row>5</xdr:row>
      <xdr:rowOff>894080</xdr:rowOff>
    </xdr:to>
    <xdr:pic>
      <xdr:nvPicPr>
        <xdr:cNvPr id="559" name="ID_0B28AE94A5204E7B8DB9A7A2ABAC386C" descr="SN21435-S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3650" y="7644765"/>
          <a:ext cx="812165" cy="691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zoomScale="85" zoomScaleNormal="85" workbookViewId="0">
      <selection activeCell="G4" sqref="G4"/>
    </sheetView>
  </sheetViews>
  <sheetFormatPr defaultColWidth="12.8984375" defaultRowHeight="15.6"/>
  <cols>
    <col min="1" max="1" width="10.69921875" style="3" customWidth="1"/>
    <col min="2" max="2" width="11.8984375" style="3" customWidth="1"/>
    <col min="3" max="19" width="19.59765625" style="3" customWidth="1"/>
    <col min="20" max="16384" width="12.8984375" style="2"/>
  </cols>
  <sheetData>
    <row r="1" spans="1:19" s="5" customFormat="1" ht="21.9" customHeight="1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</row>
    <row r="2" spans="1:19" s="1" customFormat="1" ht="87" customHeight="1">
      <c r="A2" s="11" t="s">
        <v>21</v>
      </c>
      <c r="B2" s="13" t="s">
        <v>30</v>
      </c>
      <c r="C2" s="6"/>
      <c r="D2" s="9" t="s">
        <v>22</v>
      </c>
      <c r="E2" s="10" t="s">
        <v>26</v>
      </c>
      <c r="F2" s="4" t="s">
        <v>24</v>
      </c>
      <c r="G2" s="9" t="s">
        <v>27</v>
      </c>
      <c r="H2" s="9" t="s">
        <v>29</v>
      </c>
      <c r="I2" s="10" t="s">
        <v>25</v>
      </c>
      <c r="J2" s="9" t="s">
        <v>28</v>
      </c>
      <c r="K2" s="9" t="s">
        <v>23</v>
      </c>
      <c r="L2" s="7">
        <v>25</v>
      </c>
      <c r="M2" s="15">
        <v>4.63</v>
      </c>
      <c r="N2" s="14">
        <v>0.99</v>
      </c>
      <c r="O2" s="14">
        <v>2.98</v>
      </c>
      <c r="P2" s="14">
        <v>4.6900000000000004</v>
      </c>
      <c r="Q2" s="14">
        <f>M2*(N2+O2)+P2</f>
        <v>23.071100000000001</v>
      </c>
      <c r="R2" s="12"/>
      <c r="S2" s="4" t="s">
        <v>0</v>
      </c>
    </row>
    <row r="3" spans="1:19" s="1" customFormat="1" ht="87" customHeight="1">
      <c r="A3" s="11" t="s">
        <v>20</v>
      </c>
      <c r="B3" s="13" t="s">
        <v>31</v>
      </c>
      <c r="C3" s="6"/>
      <c r="D3" s="9" t="s">
        <v>22</v>
      </c>
      <c r="E3" s="10" t="s">
        <v>26</v>
      </c>
      <c r="F3" s="4" t="s">
        <v>24</v>
      </c>
      <c r="G3" s="9" t="s">
        <v>27</v>
      </c>
      <c r="H3" s="9" t="s">
        <v>29</v>
      </c>
      <c r="I3" s="9">
        <v>45</v>
      </c>
      <c r="J3" s="9" t="s">
        <v>28</v>
      </c>
      <c r="K3" s="9" t="s">
        <v>23</v>
      </c>
      <c r="L3" s="7">
        <v>20</v>
      </c>
      <c r="M3" s="15">
        <v>3.41</v>
      </c>
      <c r="N3" s="14">
        <v>1.29</v>
      </c>
      <c r="O3" s="14">
        <v>2.98</v>
      </c>
      <c r="P3" s="14">
        <v>2.35</v>
      </c>
      <c r="Q3" s="14">
        <f t="shared" ref="Q3:Q6" si="0">M3*(N3+O3)+P3</f>
        <v>16.910699999999999</v>
      </c>
      <c r="R3" s="12"/>
      <c r="S3" s="4" t="s">
        <v>0</v>
      </c>
    </row>
    <row r="4" spans="1:19" s="1" customFormat="1" ht="87" customHeight="1">
      <c r="A4" s="11" t="s">
        <v>20</v>
      </c>
      <c r="B4" s="13" t="s">
        <v>32</v>
      </c>
      <c r="C4" s="6"/>
      <c r="D4" s="9" t="s">
        <v>22</v>
      </c>
      <c r="E4" s="10" t="s">
        <v>26</v>
      </c>
      <c r="F4" s="4" t="s">
        <v>24</v>
      </c>
      <c r="G4" s="9" t="s">
        <v>27</v>
      </c>
      <c r="H4" s="9" t="s">
        <v>29</v>
      </c>
      <c r="I4" s="9">
        <v>45</v>
      </c>
      <c r="J4" s="9" t="s">
        <v>28</v>
      </c>
      <c r="K4" s="9" t="s">
        <v>23</v>
      </c>
      <c r="L4" s="7">
        <v>30</v>
      </c>
      <c r="M4" s="15">
        <v>3.27</v>
      </c>
      <c r="N4" s="14">
        <v>1.19</v>
      </c>
      <c r="O4" s="14">
        <v>2.98</v>
      </c>
      <c r="P4" s="14">
        <v>1.5</v>
      </c>
      <c r="Q4" s="14">
        <f t="shared" si="0"/>
        <v>15.135899999999999</v>
      </c>
      <c r="R4" s="12"/>
      <c r="S4" s="4" t="s">
        <v>0</v>
      </c>
    </row>
    <row r="5" spans="1:19" s="1" customFormat="1" ht="87" customHeight="1">
      <c r="A5" s="11" t="s">
        <v>21</v>
      </c>
      <c r="B5" s="13" t="s">
        <v>33</v>
      </c>
      <c r="C5" s="6"/>
      <c r="D5" s="9" t="s">
        <v>22</v>
      </c>
      <c r="E5" s="10" t="s">
        <v>26</v>
      </c>
      <c r="F5" s="4" t="s">
        <v>24</v>
      </c>
      <c r="G5" s="9" t="s">
        <v>27</v>
      </c>
      <c r="H5" s="9" t="s">
        <v>29</v>
      </c>
      <c r="I5" s="10" t="s">
        <v>25</v>
      </c>
      <c r="J5" s="9" t="s">
        <v>28</v>
      </c>
      <c r="K5" s="9" t="s">
        <v>23</v>
      </c>
      <c r="L5" s="7">
        <v>50</v>
      </c>
      <c r="M5" s="15">
        <v>3.45</v>
      </c>
      <c r="N5" s="14">
        <v>0.85</v>
      </c>
      <c r="O5" s="14">
        <v>2.98</v>
      </c>
      <c r="P5" s="14">
        <v>3.01</v>
      </c>
      <c r="Q5" s="14">
        <f t="shared" si="0"/>
        <v>16.223500000000001</v>
      </c>
      <c r="R5" s="12"/>
      <c r="S5" s="4" t="s">
        <v>0</v>
      </c>
    </row>
    <row r="6" spans="1:19" s="1" customFormat="1" ht="87" customHeight="1">
      <c r="A6" s="11" t="s">
        <v>20</v>
      </c>
      <c r="B6" s="13" t="s">
        <v>34</v>
      </c>
      <c r="C6" s="6"/>
      <c r="D6" s="9" t="s">
        <v>22</v>
      </c>
      <c r="E6" s="10" t="s">
        <v>26</v>
      </c>
      <c r="F6" s="4" t="s">
        <v>24</v>
      </c>
      <c r="G6" s="9" t="s">
        <v>27</v>
      </c>
      <c r="H6" s="9" t="s">
        <v>29</v>
      </c>
      <c r="I6" s="9">
        <v>45</v>
      </c>
      <c r="J6" s="9" t="s">
        <v>28</v>
      </c>
      <c r="K6" s="9" t="s">
        <v>23</v>
      </c>
      <c r="L6" s="7">
        <v>40</v>
      </c>
      <c r="M6" s="15">
        <v>3.22</v>
      </c>
      <c r="N6" s="14">
        <v>1.1299999999999999</v>
      </c>
      <c r="O6" s="14">
        <v>2.98</v>
      </c>
      <c r="P6" s="14">
        <v>1.64</v>
      </c>
      <c r="Q6" s="14">
        <f t="shared" si="0"/>
        <v>14.8742</v>
      </c>
      <c r="R6" s="12"/>
      <c r="S6" s="4" t="s">
        <v>0</v>
      </c>
    </row>
  </sheetData>
  <pageMargins left="0" right="0" top="0" bottom="0" header="0" footer="0"/>
  <pageSetup paperSize="9" scale="50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FE64A2-D613-4A37-A085-8BBC525E1D9F}">
  <ds:schemaRefs>
    <ds:schemaRef ds:uri="http://schemas.microsoft.com/office/2006/metadata/properties"/>
    <ds:schemaRef ds:uri="http://schemas.microsoft.com/office/infopath/2007/PartnerControls"/>
    <ds:schemaRef ds:uri="386cc0c8-0b94-4872-b236-62e63159dc7b"/>
    <ds:schemaRef ds:uri="d4f78d72-b29f-4f77-b3b2-b076c382d585"/>
  </ds:schemaRefs>
</ds:datastoreItem>
</file>

<file path=customXml/itemProps2.xml><?xml version="1.0" encoding="utf-8"?>
<ds:datastoreItem xmlns:ds="http://schemas.openxmlformats.org/officeDocument/2006/customXml" ds:itemID="{F7AF5A5C-29CD-45D5-8A48-872C5D910E52}"/>
</file>

<file path=customXml/itemProps3.xml><?xml version="1.0" encoding="utf-8"?>
<ds:datastoreItem xmlns:ds="http://schemas.openxmlformats.org/officeDocument/2006/customXml" ds:itemID="{A50FC3D4-538D-4189-A77D-79AD92B557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S299 (3)</vt:lpstr>
      <vt:lpstr>'S299 (3)'!Area_de_impressao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Luis Fernando Pires dos Santos | Operação</cp:lastModifiedBy>
  <cp:revision/>
  <dcterms:created xsi:type="dcterms:W3CDTF">2018-11-30T09:18:00Z</dcterms:created>
  <dcterms:modified xsi:type="dcterms:W3CDTF">2026-05-26T15:41:37Z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52B1386C80D747678EB56C7DE29D25AA_13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7127700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