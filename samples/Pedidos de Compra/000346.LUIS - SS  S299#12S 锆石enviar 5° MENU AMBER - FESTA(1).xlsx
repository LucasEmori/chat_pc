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NOTE-477\Downloads\"/>
    </mc:Choice>
  </mc:AlternateContent>
  <xr:revisionPtr revIDLastSave="0" documentId="13_ncr:1_{DD713F5A-2F5A-4DBE-9B82-F1F1BB7E1308}" xr6:coauthVersionLast="47" xr6:coauthVersionMax="47" xr10:uidLastSave="{00000000-0000-0000-0000-000000000000}"/>
  <bookViews>
    <workbookView xWindow="28680" yWindow="-120" windowWidth="38640" windowHeight="15720" xr2:uid="{00000000-000D-0000-FFFF-FFFF00000000}"/>
  </bookViews>
  <sheets>
    <sheet name="S299 (3)" sheetId="3" r:id="rId1"/>
  </sheets>
  <definedNames>
    <definedName name="_xlnm._FilterDatabase" localSheetId="0" hidden="1">'S299 (3)'!$A$2:$S$7</definedName>
    <definedName name="_xlnm.Print_Area" localSheetId="0">'S299 (3)'!$A$1:$S$7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2" i="3"/>
</calcChain>
</file>

<file path=xl/sharedStrings.xml><?xml version="1.0" encoding="utf-8"?>
<sst xmlns="http://schemas.openxmlformats.org/spreadsheetml/2006/main" count="79" uniqueCount="42">
  <si>
    <r>
      <rPr>
        <sz val="12"/>
        <rFont val="宋体"/>
        <charset val="134"/>
      </rPr>
      <t>合成石</t>
    </r>
    <r>
      <rPr>
        <sz val="12"/>
        <rFont val="Arial"/>
        <charset val="134"/>
      </rPr>
      <t>CB12</t>
    </r>
  </si>
  <si>
    <r>
      <rPr>
        <sz val="12"/>
        <rFont val="宋体"/>
        <charset val="134"/>
      </rPr>
      <t>合成石</t>
    </r>
    <r>
      <rPr>
        <sz val="12"/>
        <rFont val="Arial"/>
        <charset val="134"/>
      </rPr>
      <t>CB01</t>
    </r>
  </si>
  <si>
    <t>SE18094</t>
  </si>
  <si>
    <r>
      <rPr>
        <sz val="12"/>
        <rFont val="Arial"/>
        <charset val="134"/>
      </rPr>
      <t>3#</t>
    </r>
    <r>
      <rPr>
        <sz val="12"/>
        <rFont val="宋体"/>
        <charset val="134"/>
      </rPr>
      <t>红刚玉</t>
    </r>
  </si>
  <si>
    <t>坦桑锆</t>
  </si>
  <si>
    <r>
      <rPr>
        <sz val="12"/>
        <rFont val="宋体"/>
        <charset val="134"/>
      </rPr>
      <t>水兰玻</t>
    </r>
    <r>
      <rPr>
        <sz val="12"/>
        <rFont val="Arial"/>
        <charset val="134"/>
      </rPr>
      <t>107</t>
    </r>
  </si>
  <si>
    <t>SN23376</t>
  </si>
  <si>
    <t>白</t>
  </si>
  <si>
    <t>CORRENTE</t>
  </si>
  <si>
    <t>BRINCO</t>
  </si>
  <si>
    <t>Categoria</t>
  </si>
  <si>
    <t>Código do Fornecedor</t>
  </si>
  <si>
    <t>Foto</t>
  </si>
  <si>
    <t>Material</t>
  </si>
  <si>
    <t>Fornecedor</t>
  </si>
  <si>
    <t>Banho</t>
  </si>
  <si>
    <t>Pedra</t>
  </si>
  <si>
    <t>Zirconia</t>
  </si>
  <si>
    <t>Tamanho</t>
  </si>
  <si>
    <t>TIPO PEDRA</t>
  </si>
  <si>
    <t>MARCA</t>
  </si>
  <si>
    <t>Quantidade</t>
  </si>
  <si>
    <t>Peso</t>
  </si>
  <si>
    <t xml:space="preserve">Labor Price   (USD/g)  </t>
  </si>
  <si>
    <t xml:space="preserve"> Silver Price   (USD/g) </t>
  </si>
  <si>
    <t>Dia</t>
  </si>
  <si>
    <t xml:space="preserve">Unit Price per piece FOB (USD) </t>
  </si>
  <si>
    <t>Preço de Vendas</t>
  </si>
  <si>
    <t>Remarks</t>
  </si>
  <si>
    <t>PRATA</t>
  </si>
  <si>
    <t>012432</t>
  </si>
  <si>
    <t>AL</t>
  </si>
  <si>
    <t>LIS</t>
  </si>
  <si>
    <t>ZB</t>
  </si>
  <si>
    <t>ZIRCONIA / FUSION</t>
  </si>
  <si>
    <t>RÓDIO</t>
  </si>
  <si>
    <t>COLOMBIANA</t>
  </si>
  <si>
    <t>SÁFIRA PINK</t>
  </si>
  <si>
    <t>TANZANITA</t>
  </si>
  <si>
    <t>ÁGUA MARINHA</t>
  </si>
  <si>
    <t>CRISTAL</t>
  </si>
  <si>
    <t>ESMERALDA 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</si>
</sst>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_ "/>
    <numFmt numFmtId="166" formatCode="&quot;US$&quot;#,##0.00_);[Red]\(&quot;US$&quot;#,##0.00\)"/>
    <numFmt numFmtId="167" formatCode="&quot;US$&quot;#,##0.00;\-&quot;US$&quot;#,##0.00"/>
    <numFmt numFmtId="169" formatCode="0_);[Red]\(0\)"/>
  </numFmts>
  <fonts count="17">
    <font>
      <sz val="12"/>
      <name val="宋体"/>
      <charset val="134"/>
    </font>
    <font>
      <sz val="12"/>
      <name val="Arial"/>
      <charset val="134"/>
    </font>
    <font>
      <sz val="11"/>
      <name val="Arial"/>
      <charset val="134"/>
    </font>
    <font>
      <sz val="10"/>
      <name val="Arial"/>
      <charset val="134"/>
    </font>
    <font>
      <sz val="12"/>
      <color rgb="FF000000"/>
      <name val="Arial"/>
      <charset val="134"/>
    </font>
    <font>
      <b/>
      <sz val="12"/>
      <color rgb="FFFFFF00"/>
      <name val="Arial"/>
      <charset val="134"/>
    </font>
    <font>
      <sz val="12"/>
      <color theme="1"/>
      <name val="Arial"/>
      <charset val="134"/>
    </font>
    <font>
      <sz val="12"/>
      <color theme="1"/>
      <name val="宋体"/>
      <charset val="134"/>
    </font>
    <font>
      <sz val="10"/>
      <color indexed="8"/>
      <name val="Arial"/>
      <charset val="134"/>
    </font>
    <font>
      <sz val="12"/>
      <name val="新細明體"/>
      <charset val="134"/>
    </font>
    <font>
      <sz val="12"/>
      <name val="宋体"/>
      <charset val="134"/>
    </font>
    <font>
      <sz val="12"/>
      <name val="宋体"/>
      <family val="3"/>
      <charset val="134"/>
    </font>
    <font>
      <b/>
      <sz val="12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8"/>
      <name val="宋体"/>
      <charset val="134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3A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top"/>
    </xf>
    <xf numFmtId="0" fontId="10" fillId="0" borderId="0">
      <alignment vertical="top"/>
    </xf>
    <xf numFmtId="0" fontId="8" fillId="0" borderId="0">
      <alignment vertical="top"/>
    </xf>
    <xf numFmtId="0" fontId="10" fillId="0" borderId="0">
      <alignment vertical="center"/>
    </xf>
    <xf numFmtId="0" fontId="9" fillId="0" borderId="0"/>
    <xf numFmtId="0" fontId="8" fillId="0" borderId="0">
      <alignment vertical="top"/>
    </xf>
  </cellStyleXfs>
  <cellXfs count="23">
    <xf numFmtId="0" fontId="0" fillId="0" borderId="0" xfId="0">
      <alignment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1" xfId="4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169" fontId="1" fillId="3" borderId="1" xfId="4" applyNumberFormat="1" applyFont="1" applyFill="1" applyBorder="1" applyAlignment="1">
      <alignment horizontal="center" vertical="center"/>
    </xf>
    <xf numFmtId="0" fontId="7" fillId="3" borderId="1" xfId="5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 readingOrder="1"/>
    </xf>
    <xf numFmtId="0" fontId="12" fillId="2" borderId="1" xfId="0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3" fillId="3" borderId="1" xfId="4" quotePrefix="1" applyFont="1" applyFill="1" applyBorder="1" applyAlignment="1">
      <alignment horizontal="center" vertical="center"/>
    </xf>
    <xf numFmtId="0" fontId="13" fillId="4" borderId="1" xfId="4" applyFont="1" applyFill="1" applyBorder="1" applyAlignment="1">
      <alignment horizontal="center" vertical="center"/>
    </xf>
    <xf numFmtId="2" fontId="13" fillId="3" borderId="1" xfId="4" applyNumberFormat="1" applyFont="1" applyFill="1" applyBorder="1" applyAlignment="1">
      <alignment horizontal="center" vertical="center"/>
    </xf>
    <xf numFmtId="49" fontId="14" fillId="3" borderId="1" xfId="0" applyNumberFormat="1" applyFont="1" applyFill="1" applyBorder="1" applyAlignment="1">
      <alignment horizontal="center" vertical="center" shrinkToFit="1" readingOrder="1"/>
    </xf>
    <xf numFmtId="0" fontId="11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</cellXfs>
  <cellStyles count="6">
    <cellStyle name="Normal" xfId="0" builtinId="0"/>
    <cellStyle name="Normal 16" xfId="1" xr:uid="{00000000-0005-0000-0000-000031000000}"/>
    <cellStyle name="Style 1" xfId="2" xr:uid="{00000000-0005-0000-0000-000032000000}"/>
    <cellStyle name="常规 2" xfId="3" xr:uid="{00000000-0005-0000-0000-000033000000}"/>
    <cellStyle name="常规_Sheet1" xfId="4" xr:uid="{00000000-0005-0000-0000-000034000000}"/>
    <cellStyle name="常规_Sheet1 2" xfId="5" xr:uid="{00000000-0005-0000-0000-000035000000}"/>
  </cellStyles>
  <dxfs count="0"/>
  <tableStyles count="0" defaultTableStyle="TableStyleMedium2" defaultPivotStyle="PivotStyleLight16"/>
  <colors>
    <mruColors>
      <color rgb="FFFFA3A3"/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264160</xdr:colOff>
      <xdr:row>3</xdr:row>
      <xdr:rowOff>28575</xdr:rowOff>
    </xdr:from>
    <xdr:to>
      <xdr:col>2</xdr:col>
      <xdr:colOff>1240790</xdr:colOff>
      <xdr:row>3</xdr:row>
      <xdr:rowOff>893445</xdr:rowOff>
    </xdr:to>
    <xdr:pic>
      <xdr:nvPicPr>
        <xdr:cNvPr id="1061" name="ID_491DB090B7A3495FB1FC271AA8ACA979" descr="SE18094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4910" y="4923790"/>
          <a:ext cx="969010" cy="880110"/>
        </a:xfrm>
        <a:prstGeom prst="rect">
          <a:avLst/>
        </a:prstGeom>
      </xdr:spPr>
    </xdr:pic>
    <xdr:clientData/>
  </xdr:twoCellAnchor>
  <xdr:twoCellAnchor editAs="oneCell">
    <xdr:from>
      <xdr:col>2</xdr:col>
      <xdr:colOff>264160</xdr:colOff>
      <xdr:row>6</xdr:row>
      <xdr:rowOff>79375</xdr:rowOff>
    </xdr:from>
    <xdr:to>
      <xdr:col>2</xdr:col>
      <xdr:colOff>1240790</xdr:colOff>
      <xdr:row>6</xdr:row>
      <xdr:rowOff>969010</xdr:rowOff>
    </xdr:to>
    <xdr:pic>
      <xdr:nvPicPr>
        <xdr:cNvPr id="1075" name="ID_61A61741A7E84BB5A7A804CD807CE539" descr="SN23376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54910" y="7797800"/>
          <a:ext cx="969010" cy="889635"/>
        </a:xfrm>
        <a:prstGeom prst="rect">
          <a:avLst/>
        </a:prstGeom>
      </xdr:spPr>
    </xdr:pic>
    <xdr:clientData/>
  </xdr:twoCellAnchor>
  <xdr:twoCellAnchor editAs="oneCell">
    <xdr:from>
      <xdr:col>2</xdr:col>
      <xdr:colOff>267036</xdr:colOff>
      <xdr:row>4</xdr:row>
      <xdr:rowOff>35523</xdr:rowOff>
    </xdr:from>
    <xdr:to>
      <xdr:col>2</xdr:col>
      <xdr:colOff>1241761</xdr:colOff>
      <xdr:row>4</xdr:row>
      <xdr:rowOff>898488</xdr:rowOff>
    </xdr:to>
    <xdr:pic>
      <xdr:nvPicPr>
        <xdr:cNvPr id="2" name="ID_491DB090B7A3495FB1FC271AA8ACA979" descr="SE18094">
          <a:extLst>
            <a:ext uri="{FF2B5EF4-FFF2-40B4-BE49-F238E27FC236}">
              <a16:creationId xmlns:a16="http://schemas.microsoft.com/office/drawing/2014/main" id="{7834F114-4655-4850-A789-ED3CA72D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2742" y="3968788"/>
          <a:ext cx="978535" cy="874395"/>
        </a:xfrm>
        <a:prstGeom prst="rect">
          <a:avLst/>
        </a:prstGeom>
      </xdr:spPr>
    </xdr:pic>
    <xdr:clientData/>
  </xdr:twoCellAnchor>
  <xdr:twoCellAnchor editAs="oneCell">
    <xdr:from>
      <xdr:col>2</xdr:col>
      <xdr:colOff>255831</xdr:colOff>
      <xdr:row>5</xdr:row>
      <xdr:rowOff>33619</xdr:rowOff>
    </xdr:from>
    <xdr:to>
      <xdr:col>2</xdr:col>
      <xdr:colOff>1236271</xdr:colOff>
      <xdr:row>5</xdr:row>
      <xdr:rowOff>894679</xdr:rowOff>
    </xdr:to>
    <xdr:pic>
      <xdr:nvPicPr>
        <xdr:cNvPr id="3" name="ID_491DB090B7A3495FB1FC271AA8ACA979" descr="SE18094">
          <a:extLst>
            <a:ext uri="{FF2B5EF4-FFF2-40B4-BE49-F238E27FC236}">
              <a16:creationId xmlns:a16="http://schemas.microsoft.com/office/drawing/2014/main" id="{E610EE50-F592-4434-BCB8-BB5BBD0B2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537" y="4896972"/>
          <a:ext cx="972820" cy="870585"/>
        </a:xfrm>
        <a:prstGeom prst="rect">
          <a:avLst/>
        </a:prstGeom>
      </xdr:spPr>
    </xdr:pic>
    <xdr:clientData/>
  </xdr:twoCellAnchor>
  <xdr:twoCellAnchor editAs="oneCell">
    <xdr:from>
      <xdr:col>2</xdr:col>
      <xdr:colOff>212912</xdr:colOff>
      <xdr:row>2</xdr:row>
      <xdr:rowOff>22412</xdr:rowOff>
    </xdr:from>
    <xdr:to>
      <xdr:col>2</xdr:col>
      <xdr:colOff>1197162</xdr:colOff>
      <xdr:row>2</xdr:row>
      <xdr:rowOff>892997</xdr:rowOff>
    </xdr:to>
    <xdr:pic>
      <xdr:nvPicPr>
        <xdr:cNvPr id="4" name="ID_491DB090B7A3495FB1FC271AA8ACA979" descr="SE18094">
          <a:extLst>
            <a:ext uri="{FF2B5EF4-FFF2-40B4-BE49-F238E27FC236}">
              <a16:creationId xmlns:a16="http://schemas.microsoft.com/office/drawing/2014/main" id="{67DFABD4-3D00-47A4-8983-708EF0731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8618" y="2095500"/>
          <a:ext cx="972820" cy="874395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224118</xdr:colOff>
      <xdr:row>1</xdr:row>
      <xdr:rowOff>22411</xdr:rowOff>
    </xdr:from>
    <xdr:to>
      <xdr:col>2</xdr:col>
      <xdr:colOff>1200748</xdr:colOff>
      <xdr:row>1</xdr:row>
      <xdr:rowOff>892996</xdr:rowOff>
    </xdr:to>
    <xdr:pic>
      <xdr:nvPicPr>
        <xdr:cNvPr id="5" name="ID_491DB090B7A3495FB1FC271AA8ACA979" descr="SE18094">
          <a:extLst>
            <a:ext uri="{FF2B5EF4-FFF2-40B4-BE49-F238E27FC236}">
              <a16:creationId xmlns:a16="http://schemas.microsoft.com/office/drawing/2014/main" id="{CF809B38-B0A8-48E3-9931-78D11B68B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9824" y="1165411"/>
          <a:ext cx="972820" cy="874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zoomScale="85" zoomScaleNormal="85" workbookViewId="0">
      <selection activeCell="G4" sqref="G4"/>
    </sheetView>
  </sheetViews>
  <sheetFormatPr defaultColWidth="12.8984375" defaultRowHeight="15.6"/>
  <cols>
    <col min="1" max="1" width="10.69921875" style="1" customWidth="1"/>
    <col min="2" max="2" width="24.8984375" style="1" bestFit="1" customWidth="1"/>
    <col min="3" max="5" width="19.59765625" style="1" customWidth="1"/>
    <col min="6" max="6" width="22.5" style="1" bestFit="1" customWidth="1"/>
    <col min="7" max="7" width="21.59765625" style="1" bestFit="1" customWidth="1"/>
    <col min="8" max="19" width="19.59765625" style="1" customWidth="1"/>
    <col min="20" max="16384" width="12.8984375" style="1"/>
  </cols>
  <sheetData>
    <row r="1" spans="1:19" s="20" customFormat="1" ht="34.200000000000003" customHeight="1">
      <c r="A1" s="14" t="s">
        <v>10</v>
      </c>
      <c r="B1" s="14" t="s">
        <v>11</v>
      </c>
      <c r="C1" s="14" t="s">
        <v>12</v>
      </c>
      <c r="D1" s="14" t="s">
        <v>13</v>
      </c>
      <c r="E1" s="14" t="s">
        <v>14</v>
      </c>
      <c r="F1" s="14" t="s">
        <v>15</v>
      </c>
      <c r="G1" s="14" t="s">
        <v>16</v>
      </c>
      <c r="H1" s="14" t="s">
        <v>17</v>
      </c>
      <c r="I1" s="14" t="s">
        <v>18</v>
      </c>
      <c r="J1" s="14" t="s">
        <v>19</v>
      </c>
      <c r="K1" s="14" t="s">
        <v>20</v>
      </c>
      <c r="L1" s="14" t="s">
        <v>21</v>
      </c>
      <c r="M1" s="14" t="s">
        <v>22</v>
      </c>
      <c r="N1" s="14" t="s">
        <v>23</v>
      </c>
      <c r="O1" s="14" t="s">
        <v>24</v>
      </c>
      <c r="P1" s="14" t="s">
        <v>25</v>
      </c>
      <c r="Q1" s="14" t="s">
        <v>26</v>
      </c>
      <c r="R1" s="14" t="s">
        <v>27</v>
      </c>
      <c r="S1" s="14" t="s">
        <v>28</v>
      </c>
    </row>
    <row r="2" spans="1:19" s="6" customFormat="1" ht="74.099999999999994" customHeight="1">
      <c r="A2" s="9" t="s">
        <v>9</v>
      </c>
      <c r="B2" s="19" t="s">
        <v>2</v>
      </c>
      <c r="C2" s="7"/>
      <c r="D2" s="15" t="s">
        <v>29</v>
      </c>
      <c r="E2" s="16" t="s">
        <v>30</v>
      </c>
      <c r="F2" s="21" t="s">
        <v>35</v>
      </c>
      <c r="G2" s="22" t="s">
        <v>36</v>
      </c>
      <c r="H2" s="15" t="s">
        <v>32</v>
      </c>
      <c r="I2" s="15">
        <v>0</v>
      </c>
      <c r="J2" s="15" t="s">
        <v>34</v>
      </c>
      <c r="K2" s="15" t="s">
        <v>31</v>
      </c>
      <c r="L2" s="3">
        <v>20</v>
      </c>
      <c r="M2" s="4">
        <v>2.93</v>
      </c>
      <c r="N2" s="5">
        <v>0.74</v>
      </c>
      <c r="O2" s="10">
        <v>2.98</v>
      </c>
      <c r="P2" s="17"/>
      <c r="Q2" s="18">
        <f>M2*(N2+O2)+P2</f>
        <v>10.8996</v>
      </c>
      <c r="R2" s="17"/>
      <c r="S2" s="8" t="s">
        <v>0</v>
      </c>
    </row>
    <row r="3" spans="1:19" s="6" customFormat="1" ht="74.099999999999994" customHeight="1">
      <c r="A3" s="9" t="s">
        <v>9</v>
      </c>
      <c r="B3" s="19" t="s">
        <v>2</v>
      </c>
      <c r="C3" s="7"/>
      <c r="D3" s="15" t="s">
        <v>29</v>
      </c>
      <c r="E3" s="16" t="s">
        <v>30</v>
      </c>
      <c r="F3" s="21" t="s">
        <v>35</v>
      </c>
      <c r="G3" s="22" t="s">
        <v>41</v>
      </c>
      <c r="H3" s="15" t="s">
        <v>32</v>
      </c>
      <c r="I3" s="15">
        <v>0</v>
      </c>
      <c r="J3" s="15" t="s">
        <v>34</v>
      </c>
      <c r="K3" s="15" t="s">
        <v>31</v>
      </c>
      <c r="L3" s="3">
        <v>20</v>
      </c>
      <c r="M3" s="4">
        <v>2.93</v>
      </c>
      <c r="N3" s="5">
        <v>0.74</v>
      </c>
      <c r="O3" s="10">
        <v>2.98</v>
      </c>
      <c r="P3" s="17"/>
      <c r="Q3" s="18">
        <f t="shared" ref="Q3:Q7" si="0">M3*(N3+O3)+P3</f>
        <v>10.8996</v>
      </c>
      <c r="R3" s="17"/>
      <c r="S3" s="8" t="s">
        <v>1</v>
      </c>
    </row>
    <row r="4" spans="1:19" s="6" customFormat="1" ht="74.099999999999994" customHeight="1">
      <c r="A4" s="9" t="s">
        <v>9</v>
      </c>
      <c r="B4" s="19" t="s">
        <v>2</v>
      </c>
      <c r="C4" s="7"/>
      <c r="D4" s="15" t="s">
        <v>29</v>
      </c>
      <c r="E4" s="16" t="s">
        <v>30</v>
      </c>
      <c r="F4" s="21" t="s">
        <v>35</v>
      </c>
      <c r="G4" s="22" t="s">
        <v>37</v>
      </c>
      <c r="H4" s="15" t="s">
        <v>32</v>
      </c>
      <c r="I4" s="15">
        <v>0</v>
      </c>
      <c r="J4" s="15" t="s">
        <v>34</v>
      </c>
      <c r="K4" s="15" t="s">
        <v>31</v>
      </c>
      <c r="L4" s="3">
        <v>10</v>
      </c>
      <c r="M4" s="4">
        <v>2.86</v>
      </c>
      <c r="N4" s="5">
        <v>0.82</v>
      </c>
      <c r="O4" s="10">
        <v>2.98</v>
      </c>
      <c r="P4" s="17"/>
      <c r="Q4" s="18">
        <f t="shared" si="0"/>
        <v>10.867999999999999</v>
      </c>
      <c r="R4" s="17"/>
      <c r="S4" s="9" t="s">
        <v>3</v>
      </c>
    </row>
    <row r="5" spans="1:19" s="6" customFormat="1" ht="74.099999999999994" customHeight="1">
      <c r="A5" s="9" t="s">
        <v>9</v>
      </c>
      <c r="B5" s="19" t="s">
        <v>2</v>
      </c>
      <c r="C5" s="7"/>
      <c r="D5" s="15" t="s">
        <v>29</v>
      </c>
      <c r="E5" s="16" t="s">
        <v>30</v>
      </c>
      <c r="F5" s="21" t="s">
        <v>35</v>
      </c>
      <c r="G5" s="22" t="s">
        <v>38</v>
      </c>
      <c r="H5" s="15" t="s">
        <v>32</v>
      </c>
      <c r="I5" s="15">
        <v>0</v>
      </c>
      <c r="J5" s="15" t="s">
        <v>34</v>
      </c>
      <c r="K5" s="15" t="s">
        <v>31</v>
      </c>
      <c r="L5" s="3">
        <v>15</v>
      </c>
      <c r="M5" s="4">
        <v>2.93</v>
      </c>
      <c r="N5" s="5">
        <v>0.74</v>
      </c>
      <c r="O5" s="10">
        <v>2.98</v>
      </c>
      <c r="P5" s="17"/>
      <c r="Q5" s="18">
        <f t="shared" si="0"/>
        <v>10.8996</v>
      </c>
      <c r="R5" s="17"/>
      <c r="S5" s="8" t="s">
        <v>4</v>
      </c>
    </row>
    <row r="6" spans="1:19" s="6" customFormat="1" ht="74.099999999999994" customHeight="1">
      <c r="A6" s="9" t="s">
        <v>9</v>
      </c>
      <c r="B6" s="19" t="s">
        <v>2</v>
      </c>
      <c r="C6" s="7"/>
      <c r="D6" s="15" t="s">
        <v>29</v>
      </c>
      <c r="E6" s="16" t="s">
        <v>30</v>
      </c>
      <c r="F6" s="21" t="s">
        <v>35</v>
      </c>
      <c r="G6" s="22" t="s">
        <v>39</v>
      </c>
      <c r="H6" s="15" t="s">
        <v>32</v>
      </c>
      <c r="I6" s="15">
        <v>0</v>
      </c>
      <c r="J6" s="15" t="s">
        <v>34</v>
      </c>
      <c r="K6" s="15" t="s">
        <v>31</v>
      </c>
      <c r="L6" s="3">
        <v>10</v>
      </c>
      <c r="M6" s="4">
        <v>2.93</v>
      </c>
      <c r="N6" s="5">
        <v>0.24</v>
      </c>
      <c r="O6" s="10">
        <v>2.98</v>
      </c>
      <c r="P6" s="17"/>
      <c r="Q6" s="18">
        <f t="shared" si="0"/>
        <v>9.4345999999999997</v>
      </c>
      <c r="R6" s="17"/>
      <c r="S6" s="8" t="s">
        <v>5</v>
      </c>
    </row>
    <row r="7" spans="1:19" s="2" customFormat="1" ht="81.900000000000006" customHeight="1">
      <c r="A7" s="9" t="s">
        <v>8</v>
      </c>
      <c r="B7" s="11" t="s">
        <v>6</v>
      </c>
      <c r="C7" s="7"/>
      <c r="D7" s="15" t="s">
        <v>29</v>
      </c>
      <c r="E7" s="16" t="s">
        <v>30</v>
      </c>
      <c r="F7" s="21" t="s">
        <v>35</v>
      </c>
      <c r="G7" s="22" t="s">
        <v>40</v>
      </c>
      <c r="H7" s="15" t="s">
        <v>33</v>
      </c>
      <c r="I7" s="15">
        <v>42</v>
      </c>
      <c r="J7" s="15" t="s">
        <v>34</v>
      </c>
      <c r="K7" s="15" t="s">
        <v>31</v>
      </c>
      <c r="L7" s="13">
        <v>15</v>
      </c>
      <c r="M7" s="4">
        <v>28.92</v>
      </c>
      <c r="N7" s="5">
        <v>0.31</v>
      </c>
      <c r="O7" s="10">
        <v>2.98</v>
      </c>
      <c r="P7" s="17"/>
      <c r="Q7" s="18">
        <f t="shared" si="0"/>
        <v>95.146800000000013</v>
      </c>
      <c r="R7" s="17"/>
      <c r="S7" s="12" t="s">
        <v>7</v>
      </c>
    </row>
  </sheetData>
  <phoneticPr fontId="15" type="noConversion"/>
  <pageMargins left="0" right="0" top="0" bottom="0" header="0" footer="0"/>
  <pageSetup paperSize="9" scale="54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CC7A1F-7A20-48BC-B2FB-17BC1E343C11}"/>
</file>

<file path=customXml/itemProps2.xml><?xml version="1.0" encoding="utf-8"?>
<ds:datastoreItem xmlns:ds="http://schemas.openxmlformats.org/officeDocument/2006/customXml" ds:itemID="{53D2A729-D5EC-43A2-8324-E24E6999890F}">
  <ds:schemaRefs>
    <ds:schemaRef ds:uri="http://schemas.microsoft.com/office/2006/metadata/properties"/>
    <ds:schemaRef ds:uri="http://schemas.microsoft.com/office/infopath/2007/PartnerControls"/>
    <ds:schemaRef ds:uri="386cc0c8-0b94-4872-b236-62e63159dc7b"/>
    <ds:schemaRef ds:uri="d4f78d72-b29f-4f77-b3b2-b076c382d585"/>
  </ds:schemaRefs>
</ds:datastoreItem>
</file>

<file path=customXml/itemProps3.xml><?xml version="1.0" encoding="utf-8"?>
<ds:datastoreItem xmlns:ds="http://schemas.openxmlformats.org/officeDocument/2006/customXml" ds:itemID="{346928BC-A65A-47FA-8645-E80D9F7562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S299 (3)</vt:lpstr>
      <vt:lpstr>'S299 (3)'!Area_de_impressao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rgalotti</dc:creator>
  <cp:lastModifiedBy>Luis Fernando Pires dos Santos | Operação</cp:lastModifiedBy>
  <cp:lastPrinted>2025-08-12T13:04:00Z</cp:lastPrinted>
  <dcterms:created xsi:type="dcterms:W3CDTF">2018-11-30T09:18:00Z</dcterms:created>
  <dcterms:modified xsi:type="dcterms:W3CDTF">2026-05-26T14:14:27Z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78B693DA4206404EAA9CDF32CCA73A7D_13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7127300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