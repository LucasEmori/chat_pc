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OTE-477\Downloads\"/>
    </mc:Choice>
  </mc:AlternateContent>
  <xr:revisionPtr revIDLastSave="0" documentId="13_ncr:1_{7542C09F-34B7-42A4-B67C-8B6740E0CE29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299 (3)" sheetId="3" r:id="rId1"/>
  </sheets>
  <definedNames>
    <definedName name="_xlnm._FilterDatabase" localSheetId="0" hidden="1">'S299 (3)'!$A$1:$GE$7</definedName>
    <definedName name="_xlnm.Print_Area" localSheetId="0">'S299 (3)'!$A$1:$S$7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2" i="3"/>
</calcChain>
</file>

<file path=xl/sharedStrings.xml><?xml version="1.0" encoding="utf-8"?>
<sst xmlns="http://schemas.openxmlformats.org/spreadsheetml/2006/main" count="79" uniqueCount="34">
  <si>
    <t>moissanite</t>
  </si>
  <si>
    <t>Categoria</t>
  </si>
  <si>
    <t>Código do Fornecedor</t>
  </si>
  <si>
    <t>Foto</t>
  </si>
  <si>
    <t>Material</t>
  </si>
  <si>
    <t>Fornecedor</t>
  </si>
  <si>
    <t>Banho</t>
  </si>
  <si>
    <t>Pedra</t>
  </si>
  <si>
    <t>Zirconia</t>
  </si>
  <si>
    <t>Tamanho</t>
  </si>
  <si>
    <t>TIPO PEDRA</t>
  </si>
  <si>
    <t>MARCA</t>
  </si>
  <si>
    <t>Quantidade</t>
  </si>
  <si>
    <t>Peso</t>
  </si>
  <si>
    <t xml:space="preserve">Labor Price   (USD/g)  </t>
  </si>
  <si>
    <t xml:space="preserve"> Silver Price   (USD/g) </t>
  </si>
  <si>
    <t>Dia</t>
  </si>
  <si>
    <t xml:space="preserve">Unit Price per piece FOB (USD) </t>
  </si>
  <si>
    <t>Preço de Vendas</t>
  </si>
  <si>
    <t>Remarks</t>
  </si>
  <si>
    <t>PULSEIRA</t>
  </si>
  <si>
    <t>AL</t>
  </si>
  <si>
    <t>PRATA</t>
  </si>
  <si>
    <t>OURO</t>
  </si>
  <si>
    <t>RÓDIO</t>
  </si>
  <si>
    <t>012432</t>
  </si>
  <si>
    <t>MOISSANITE</t>
  </si>
  <si>
    <t>MS</t>
  </si>
  <si>
    <t>CRISTAL</t>
  </si>
  <si>
    <t>SA06714-MOI</t>
  </si>
  <si>
    <t>SB13966-S-MOI</t>
  </si>
  <si>
    <t>SB13852-S-MOI</t>
  </si>
  <si>
    <t>SB13341-S-MOI</t>
  </si>
  <si>
    <t>SB08094-L-MOI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</si>
</sst>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0_ "/>
    <numFmt numFmtId="167" formatCode="&quot;US$&quot;#,##0.00;\-&quot;US$&quot;#,##0.00"/>
    <numFmt numFmtId="169" formatCode="0_);[Red]\(0\)"/>
  </numFmts>
  <fonts count="13">
    <font>
      <sz val="12"/>
      <name val="宋体"/>
      <charset val="134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color rgb="FFFF0000"/>
      <name val="宋体"/>
      <charset val="134"/>
    </font>
    <font>
      <b/>
      <sz val="12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2"/>
      <name val="新細明體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3A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top"/>
    </xf>
    <xf numFmtId="164" fontId="12" fillId="0" borderId="0" applyFont="0" applyFill="0" applyBorder="0" applyAlignment="0" applyProtection="0"/>
    <xf numFmtId="0" fontId="12" fillId="0" borderId="0">
      <alignment vertical="top"/>
    </xf>
    <xf numFmtId="0" fontId="10" fillId="0" borderId="0">
      <alignment vertical="top"/>
    </xf>
    <xf numFmtId="0" fontId="12" fillId="0" borderId="0">
      <alignment vertical="center"/>
    </xf>
    <xf numFmtId="0" fontId="11" fillId="0" borderId="0"/>
  </cellStyleXfs>
  <cellXfs count="25">
    <xf numFmtId="0" fontId="0" fillId="0" borderId="0" xfId="0">
      <alignment vertical="top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9" fontId="1" fillId="0" borderId="1" xfId="5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164" fontId="1" fillId="0" borderId="0" xfId="1" applyFont="1" applyFill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shrinkToFit="1" readingOrder="1"/>
    </xf>
    <xf numFmtId="0" fontId="8" fillId="0" borderId="1" xfId="5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169" fontId="9" fillId="0" borderId="1" xfId="5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4" borderId="1" xfId="5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5" applyFont="1" applyFill="1" applyBorder="1" applyAlignment="1">
      <alignment horizontal="center" vertical="center"/>
    </xf>
  </cellXfs>
  <cellStyles count="6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247015</xdr:colOff>
      <xdr:row>1</xdr:row>
      <xdr:rowOff>96520</xdr:rowOff>
    </xdr:from>
    <xdr:to>
      <xdr:col>2</xdr:col>
      <xdr:colOff>1240790</xdr:colOff>
      <xdr:row>1</xdr:row>
      <xdr:rowOff>1049020</xdr:rowOff>
    </xdr:to>
    <xdr:pic>
      <xdr:nvPicPr>
        <xdr:cNvPr id="877" name="ID_463B8CB0627746CF97043FB63F09D606" descr="SB08094-L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7765" y="3109595"/>
          <a:ext cx="1003300" cy="944880"/>
        </a:xfrm>
        <a:prstGeom prst="rect">
          <a:avLst/>
        </a:prstGeom>
      </xdr:spPr>
    </xdr:pic>
    <xdr:clientData/>
  </xdr:twoCellAnchor>
  <xdr:twoCellAnchor editAs="oneCell">
    <xdr:from>
      <xdr:col>2</xdr:col>
      <xdr:colOff>257810</xdr:colOff>
      <xdr:row>2</xdr:row>
      <xdr:rowOff>118745</xdr:rowOff>
    </xdr:from>
    <xdr:to>
      <xdr:col>2</xdr:col>
      <xdr:colOff>1240155</xdr:colOff>
      <xdr:row>2</xdr:row>
      <xdr:rowOff>1007110</xdr:rowOff>
    </xdr:to>
    <xdr:pic>
      <xdr:nvPicPr>
        <xdr:cNvPr id="1290" name="ID_972207721F6847669ECED3BCC7900F83" descr="SB13341-S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8560" y="4265295"/>
          <a:ext cx="982345" cy="878840"/>
        </a:xfrm>
        <a:prstGeom prst="rect">
          <a:avLst/>
        </a:prstGeom>
      </xdr:spPr>
    </xdr:pic>
    <xdr:clientData/>
  </xdr:twoCellAnchor>
  <xdr:twoCellAnchor editAs="oneCell">
    <xdr:from>
      <xdr:col>2</xdr:col>
      <xdr:colOff>257810</xdr:colOff>
      <xdr:row>3</xdr:row>
      <xdr:rowOff>118745</xdr:rowOff>
    </xdr:from>
    <xdr:to>
      <xdr:col>2</xdr:col>
      <xdr:colOff>1240155</xdr:colOff>
      <xdr:row>3</xdr:row>
      <xdr:rowOff>1007110</xdr:rowOff>
    </xdr:to>
    <xdr:pic>
      <xdr:nvPicPr>
        <xdr:cNvPr id="1292" name="ID_E4F9D79B6F304157A56F687B6CDF4A65" descr="SB13852-S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8560" y="5370195"/>
          <a:ext cx="982345" cy="878840"/>
        </a:xfrm>
        <a:prstGeom prst="rect">
          <a:avLst/>
        </a:prstGeom>
      </xdr:spPr>
    </xdr:pic>
    <xdr:clientData/>
  </xdr:twoCellAnchor>
  <xdr:twoCellAnchor editAs="oneCell">
    <xdr:from>
      <xdr:col>2</xdr:col>
      <xdr:colOff>121434</xdr:colOff>
      <xdr:row>4</xdr:row>
      <xdr:rowOff>526527</xdr:rowOff>
    </xdr:from>
    <xdr:to>
      <xdr:col>2</xdr:col>
      <xdr:colOff>1101874</xdr:colOff>
      <xdr:row>5</xdr:row>
      <xdr:rowOff>334757</xdr:rowOff>
    </xdr:to>
    <xdr:pic>
      <xdr:nvPicPr>
        <xdr:cNvPr id="1312" name="ID_84BF88A181614481A6F8B2EE04929552" descr="SA06714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5669" y="4538233"/>
          <a:ext cx="980440" cy="872789"/>
        </a:xfrm>
        <a:prstGeom prst="rect">
          <a:avLst/>
        </a:prstGeom>
      </xdr:spPr>
    </xdr:pic>
    <xdr:clientData/>
  </xdr:twoCellAnchor>
  <xdr:twoCellAnchor editAs="oneCell">
    <xdr:from>
      <xdr:col>2</xdr:col>
      <xdr:colOff>257810</xdr:colOff>
      <xdr:row>6</xdr:row>
      <xdr:rowOff>118745</xdr:rowOff>
    </xdr:from>
    <xdr:to>
      <xdr:col>2</xdr:col>
      <xdr:colOff>1240155</xdr:colOff>
      <xdr:row>6</xdr:row>
      <xdr:rowOff>1007110</xdr:rowOff>
    </xdr:to>
    <xdr:pic>
      <xdr:nvPicPr>
        <xdr:cNvPr id="1314" name="ID_0930DA560C014D8AA84E707231F37A25" descr="SB13966-S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8560" y="8608695"/>
          <a:ext cx="982345" cy="878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zoomScale="85" zoomScaleNormal="85" workbookViewId="0">
      <selection activeCell="M5" sqref="M5"/>
    </sheetView>
  </sheetViews>
  <sheetFormatPr defaultColWidth="12.8984375" defaultRowHeight="15.6"/>
  <cols>
    <col min="1" max="1" width="11" style="3" bestFit="1" customWidth="1"/>
    <col min="2" max="2" width="24.8984375" style="3" bestFit="1" customWidth="1"/>
    <col min="3" max="3" width="16.19921875" style="3" customWidth="1"/>
    <col min="4" max="18" width="19.59765625" style="3" customWidth="1"/>
    <col min="19" max="19" width="15.8984375" style="4" customWidth="1"/>
    <col min="20" max="164" width="12.8984375" style="2" customWidth="1"/>
    <col min="165" max="185" width="9" style="2" customWidth="1"/>
    <col min="186" max="186" width="6.09765625" style="2" customWidth="1"/>
    <col min="187" max="187" width="8.59765625" style="2" customWidth="1"/>
    <col min="188" max="16384" width="12.8984375" style="2"/>
  </cols>
  <sheetData>
    <row r="1" spans="1:22" s="8" customFormat="1" ht="53.1" customHeight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</row>
    <row r="2" spans="1:22" s="1" customFormat="1" ht="89.25" customHeight="1">
      <c r="A2" s="11" t="s">
        <v>20</v>
      </c>
      <c r="B2" s="10" t="s">
        <v>33</v>
      </c>
      <c r="C2" s="11"/>
      <c r="D2" s="11" t="s">
        <v>22</v>
      </c>
      <c r="E2" s="22" t="s">
        <v>25</v>
      </c>
      <c r="F2" s="11" t="s">
        <v>24</v>
      </c>
      <c r="G2" s="11" t="s">
        <v>28</v>
      </c>
      <c r="H2" s="11" t="s">
        <v>27</v>
      </c>
      <c r="I2" s="11">
        <v>17</v>
      </c>
      <c r="J2" s="11" t="s">
        <v>26</v>
      </c>
      <c r="K2" s="11" t="s">
        <v>21</v>
      </c>
      <c r="L2" s="5">
        <v>50</v>
      </c>
      <c r="M2" s="6">
        <v>1.94</v>
      </c>
      <c r="N2" s="13">
        <v>1.42</v>
      </c>
      <c r="O2" s="7">
        <v>2.98</v>
      </c>
      <c r="P2" s="23">
        <v>1.28</v>
      </c>
      <c r="Q2" s="21">
        <f>M2*(N2+O2)+P2</f>
        <v>9.8159999999999989</v>
      </c>
      <c r="R2" s="19"/>
      <c r="S2" s="12" t="s">
        <v>0</v>
      </c>
      <c r="U2" s="14"/>
      <c r="V2" s="14"/>
    </row>
    <row r="3" spans="1:22" s="1" customFormat="1" ht="87" customHeight="1">
      <c r="A3" s="11" t="s">
        <v>20</v>
      </c>
      <c r="B3" s="15" t="s">
        <v>32</v>
      </c>
      <c r="C3" s="16"/>
      <c r="D3" s="11" t="s">
        <v>22</v>
      </c>
      <c r="E3" s="22" t="s">
        <v>25</v>
      </c>
      <c r="F3" s="11" t="s">
        <v>24</v>
      </c>
      <c r="G3" s="11" t="s">
        <v>28</v>
      </c>
      <c r="H3" s="11" t="s">
        <v>27</v>
      </c>
      <c r="I3" s="11">
        <v>17</v>
      </c>
      <c r="J3" s="11" t="s">
        <v>26</v>
      </c>
      <c r="K3" s="11" t="s">
        <v>21</v>
      </c>
      <c r="L3" s="5">
        <v>50</v>
      </c>
      <c r="M3" s="5">
        <v>2.21</v>
      </c>
      <c r="N3" s="13">
        <v>1.74</v>
      </c>
      <c r="O3" s="7">
        <v>2.98</v>
      </c>
      <c r="P3" s="24">
        <v>0.69</v>
      </c>
      <c r="Q3" s="21">
        <f t="shared" ref="Q3:Q7" si="0">M3*(N3+O3)+P3</f>
        <v>11.121199999999998</v>
      </c>
      <c r="R3" s="20"/>
      <c r="S3" s="12" t="s">
        <v>0</v>
      </c>
    </row>
    <row r="4" spans="1:22" s="1" customFormat="1" ht="87" customHeight="1">
      <c r="A4" s="11" t="s">
        <v>20</v>
      </c>
      <c r="B4" s="15" t="s">
        <v>31</v>
      </c>
      <c r="C4" s="16"/>
      <c r="D4" s="11" t="s">
        <v>22</v>
      </c>
      <c r="E4" s="22" t="s">
        <v>25</v>
      </c>
      <c r="F4" s="11" t="s">
        <v>24</v>
      </c>
      <c r="G4" s="11" t="s">
        <v>28</v>
      </c>
      <c r="H4" s="11" t="s">
        <v>27</v>
      </c>
      <c r="I4" s="11">
        <v>17</v>
      </c>
      <c r="J4" s="11" t="s">
        <v>26</v>
      </c>
      <c r="K4" s="11" t="s">
        <v>21</v>
      </c>
      <c r="L4" s="5">
        <v>50</v>
      </c>
      <c r="M4" s="5">
        <v>3.49</v>
      </c>
      <c r="N4" s="13">
        <v>1.47</v>
      </c>
      <c r="O4" s="7">
        <v>2.98</v>
      </c>
      <c r="P4" s="24">
        <v>1.34</v>
      </c>
      <c r="Q4" s="21">
        <f t="shared" si="0"/>
        <v>16.870500000000003</v>
      </c>
      <c r="R4" s="20"/>
      <c r="S4" s="12" t="s">
        <v>0</v>
      </c>
    </row>
    <row r="5" spans="1:22" s="17" customFormat="1" ht="84" customHeight="1">
      <c r="A5" s="11" t="s">
        <v>20</v>
      </c>
      <c r="B5" s="10" t="s">
        <v>29</v>
      </c>
      <c r="C5" s="16"/>
      <c r="D5" s="11" t="s">
        <v>22</v>
      </c>
      <c r="E5" s="22" t="s">
        <v>25</v>
      </c>
      <c r="F5" s="11" t="s">
        <v>24</v>
      </c>
      <c r="G5" s="11" t="s">
        <v>28</v>
      </c>
      <c r="H5" s="11" t="s">
        <v>27</v>
      </c>
      <c r="I5" s="11">
        <v>17</v>
      </c>
      <c r="J5" s="11" t="s">
        <v>26</v>
      </c>
      <c r="K5" s="11" t="s">
        <v>21</v>
      </c>
      <c r="L5" s="5">
        <v>20</v>
      </c>
      <c r="M5" s="5">
        <v>13.47</v>
      </c>
      <c r="N5" s="13">
        <v>0.87</v>
      </c>
      <c r="O5" s="7">
        <v>2.98</v>
      </c>
      <c r="P5" s="24">
        <v>0.71</v>
      </c>
      <c r="Q5" s="21">
        <f t="shared" si="0"/>
        <v>52.569500000000005</v>
      </c>
      <c r="R5" s="20"/>
      <c r="S5" s="12" t="s">
        <v>0</v>
      </c>
    </row>
    <row r="6" spans="1:22" s="17" customFormat="1" ht="84" customHeight="1">
      <c r="A6" s="11" t="s">
        <v>20</v>
      </c>
      <c r="B6" s="10" t="s">
        <v>29</v>
      </c>
      <c r="C6" s="16"/>
      <c r="D6" s="11" t="s">
        <v>22</v>
      </c>
      <c r="E6" s="22" t="s">
        <v>25</v>
      </c>
      <c r="F6" s="11" t="s">
        <v>23</v>
      </c>
      <c r="G6" s="11" t="s">
        <v>28</v>
      </c>
      <c r="H6" s="11" t="s">
        <v>27</v>
      </c>
      <c r="I6" s="11">
        <v>17</v>
      </c>
      <c r="J6" s="11" t="s">
        <v>26</v>
      </c>
      <c r="K6" s="11" t="s">
        <v>21</v>
      </c>
      <c r="L6" s="5">
        <v>12</v>
      </c>
      <c r="M6" s="5">
        <v>13.47</v>
      </c>
      <c r="N6" s="13">
        <v>0.87</v>
      </c>
      <c r="O6" s="7">
        <v>2.98</v>
      </c>
      <c r="P6" s="24">
        <v>0.71</v>
      </c>
      <c r="Q6" s="21">
        <f t="shared" si="0"/>
        <v>52.569500000000005</v>
      </c>
      <c r="R6" s="20"/>
      <c r="S6" s="12" t="s">
        <v>0</v>
      </c>
    </row>
    <row r="7" spans="1:22" s="1" customFormat="1" ht="87" customHeight="1">
      <c r="A7" s="11" t="s">
        <v>20</v>
      </c>
      <c r="B7" s="18" t="s">
        <v>30</v>
      </c>
      <c r="C7" s="16"/>
      <c r="D7" s="11" t="s">
        <v>22</v>
      </c>
      <c r="E7" s="22" t="s">
        <v>25</v>
      </c>
      <c r="F7" s="11" t="s">
        <v>24</v>
      </c>
      <c r="G7" s="11" t="s">
        <v>28</v>
      </c>
      <c r="H7" s="11" t="s">
        <v>27</v>
      </c>
      <c r="I7" s="11">
        <v>17</v>
      </c>
      <c r="J7" s="11" t="s">
        <v>26</v>
      </c>
      <c r="K7" s="11" t="s">
        <v>21</v>
      </c>
      <c r="L7" s="5">
        <v>20</v>
      </c>
      <c r="M7" s="5">
        <v>14.2</v>
      </c>
      <c r="N7" s="13">
        <v>1.03</v>
      </c>
      <c r="O7" s="7">
        <v>2.98</v>
      </c>
      <c r="P7" s="24">
        <v>3.46</v>
      </c>
      <c r="Q7" s="21">
        <f t="shared" si="0"/>
        <v>60.401999999999994</v>
      </c>
      <c r="R7" s="20"/>
      <c r="S7" s="12" t="s">
        <v>0</v>
      </c>
    </row>
  </sheetData>
  <conditionalFormatting sqref="B5">
    <cfRule type="duplicateValues" dxfId="0" priority="3"/>
  </conditionalFormatting>
  <pageMargins left="0" right="0" top="0" bottom="0" header="0" footer="0"/>
  <pageSetup paperSize="9" scale="50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718F38-CCDC-4397-98BF-F481FE338814}">
  <ds:schemaRefs>
    <ds:schemaRef ds:uri="http://schemas.microsoft.com/office/2006/metadata/properties"/>
    <ds:schemaRef ds:uri="http://schemas.microsoft.com/office/infopath/2007/PartnerControls"/>
    <ds:schemaRef ds:uri="386cc0c8-0b94-4872-b236-62e63159dc7b"/>
    <ds:schemaRef ds:uri="d4f78d72-b29f-4f77-b3b2-b076c382d585"/>
  </ds:schemaRefs>
</ds:datastoreItem>
</file>

<file path=customXml/itemProps2.xml><?xml version="1.0" encoding="utf-8"?>
<ds:datastoreItem xmlns:ds="http://schemas.openxmlformats.org/officeDocument/2006/customXml" ds:itemID="{8E258CB7-08ED-4304-9CFA-45B4D549B4A3}"/>
</file>

<file path=customXml/itemProps3.xml><?xml version="1.0" encoding="utf-8"?>
<ds:datastoreItem xmlns:ds="http://schemas.openxmlformats.org/officeDocument/2006/customXml" ds:itemID="{733DAAF4-63CA-4D8A-8C43-AE7919BD47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S299 (3)</vt:lpstr>
      <vt:lpstr>'S299 (3)'!Area_de_impressao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Luis Fernando Pires dos Santos | Operação</cp:lastModifiedBy>
  <cp:revision/>
  <dcterms:created xsi:type="dcterms:W3CDTF">2018-11-30T09:18:00Z</dcterms:created>
  <dcterms:modified xsi:type="dcterms:W3CDTF">2026-05-26T14:37:35Z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4B2ADF5E6B9843F1864A2B91B4E58516_13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7128000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